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ym_Data\"/>
    </mc:Choice>
  </mc:AlternateContent>
  <xr:revisionPtr revIDLastSave="0" documentId="8_{D872A81C-F213-4CCB-AB06-34A597250F24}" xr6:coauthVersionLast="47" xr6:coauthVersionMax="47" xr10:uidLastSave="{00000000-0000-0000-0000-000000000000}"/>
  <bookViews>
    <workbookView xWindow="-108" yWindow="-108" windowWidth="23256" windowHeight="13176" activeTab="2" xr2:uid="{4BC90B50-26C6-4453-99E0-7CC861C1A241}"/>
  </bookViews>
  <sheets>
    <sheet name="Membership_Data" sheetId="1" r:id="rId1"/>
    <sheet name="Attendance Data" sheetId="2" r:id="rId2"/>
    <sheet name="Payments Data" sheetId="3" r:id="rId3"/>
  </sheets>
  <definedNames>
    <definedName name="A">Membership_Data!$G$2</definedName>
    <definedName name="B">Membership_Data!$G$3</definedName>
    <definedName name="D">Membership_Data!$G$4</definedName>
    <definedName name="MB">Membership_Data!$A$1:$I$201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 a="1"/>
  <c r="E3" i="3" s="1"/>
  <c r="E4" i="3" a="1"/>
  <c r="E4" i="3"/>
  <c r="E5" i="3" a="1"/>
  <c r="E5" i="3" s="1"/>
  <c r="E6" i="3" a="1"/>
  <c r="E6" i="3"/>
  <c r="E7" i="3" a="1"/>
  <c r="E7" i="3" s="1"/>
  <c r="E8" i="3" a="1"/>
  <c r="E8" i="3"/>
  <c r="E9" i="3" a="1"/>
  <c r="E9" i="3" s="1"/>
  <c r="E10" i="3" a="1"/>
  <c r="E10" i="3"/>
  <c r="E11" i="3" a="1"/>
  <c r="E11" i="3" s="1"/>
  <c r="E12" i="3" a="1"/>
  <c r="E12" i="3"/>
  <c r="E13" i="3" a="1"/>
  <c r="E13" i="3" s="1"/>
  <c r="E14" i="3" a="1"/>
  <c r="E14" i="3"/>
  <c r="E15" i="3" a="1"/>
  <c r="E15" i="3" s="1"/>
  <c r="E16" i="3" a="1"/>
  <c r="E16" i="3" s="1"/>
  <c r="E17" i="3" a="1"/>
  <c r="E17" i="3" s="1"/>
  <c r="E18" i="3" a="1"/>
  <c r="E18" i="3"/>
  <c r="E19" i="3" a="1"/>
  <c r="E19" i="3" s="1"/>
  <c r="E20" i="3" a="1"/>
  <c r="E20" i="3" s="1"/>
  <c r="E21" i="3" a="1"/>
  <c r="E21" i="3" s="1"/>
  <c r="E22" i="3" a="1"/>
  <c r="E22" i="3" s="1"/>
  <c r="E23" i="3" a="1"/>
  <c r="E23" i="3" s="1"/>
  <c r="E24" i="3" a="1"/>
  <c r="E24" i="3" s="1"/>
  <c r="E25" i="3" a="1"/>
  <c r="E25" i="3" s="1"/>
  <c r="E26" i="3" a="1"/>
  <c r="E26" i="3"/>
  <c r="E27" i="3" a="1"/>
  <c r="E27" i="3" s="1"/>
  <c r="E28" i="3" a="1"/>
  <c r="E28" i="3"/>
  <c r="E29" i="3" a="1"/>
  <c r="E29" i="3" s="1"/>
  <c r="E30" i="3" a="1"/>
  <c r="E30" i="3" s="1"/>
  <c r="E31" i="3" a="1"/>
  <c r="E31" i="3" s="1"/>
  <c r="E32" i="3" a="1"/>
  <c r="E32" i="3" s="1"/>
  <c r="E33" i="3" a="1"/>
  <c r="E33" i="3" s="1"/>
  <c r="E34" i="3" a="1"/>
  <c r="E34" i="3"/>
  <c r="E35" i="3" a="1"/>
  <c r="E35" i="3" s="1"/>
  <c r="E36" i="3" a="1"/>
  <c r="E36" i="3" s="1"/>
  <c r="E37" i="3" a="1"/>
  <c r="E37" i="3" s="1"/>
  <c r="E38" i="3" a="1"/>
  <c r="E38" i="3" s="1"/>
  <c r="E39" i="3" a="1"/>
  <c r="E39" i="3" s="1"/>
  <c r="E40" i="3" a="1"/>
  <c r="E40" i="3" s="1"/>
  <c r="E41" i="3" a="1"/>
  <c r="E41" i="3" s="1"/>
  <c r="E42" i="3" a="1"/>
  <c r="E42" i="3"/>
  <c r="E43" i="3" a="1"/>
  <c r="E43" i="3" s="1"/>
  <c r="E44" i="3" a="1"/>
  <c r="E44" i="3" s="1"/>
  <c r="E45" i="3" a="1"/>
  <c r="E45" i="3" s="1"/>
  <c r="E46" i="3" a="1"/>
  <c r="E46" i="3" s="1"/>
  <c r="E47" i="3" a="1"/>
  <c r="E47" i="3" s="1"/>
  <c r="E48" i="3" a="1"/>
  <c r="E48" i="3" s="1"/>
  <c r="E49" i="3" a="1"/>
  <c r="E49" i="3" s="1"/>
  <c r="E50" i="3" a="1"/>
  <c r="E50" i="3"/>
  <c r="E51" i="3" a="1"/>
  <c r="E51" i="3" s="1"/>
  <c r="E52" i="3" a="1"/>
  <c r="E52" i="3" s="1"/>
  <c r="E53" i="3" a="1"/>
  <c r="E53" i="3" s="1"/>
  <c r="E54" i="3" a="1"/>
  <c r="E54" i="3" s="1"/>
  <c r="E55" i="3" a="1"/>
  <c r="E55" i="3" s="1"/>
  <c r="E56" i="3" a="1"/>
  <c r="E56" i="3" s="1"/>
  <c r="E57" i="3" a="1"/>
  <c r="E57" i="3" s="1"/>
  <c r="E58" i="3" a="1"/>
  <c r="E58" i="3"/>
  <c r="E59" i="3" a="1"/>
  <c r="E59" i="3" s="1"/>
  <c r="E60" i="3" a="1"/>
  <c r="E60" i="3" s="1"/>
  <c r="E61" i="3" a="1"/>
  <c r="E61" i="3" s="1"/>
  <c r="E62" i="3" a="1"/>
  <c r="E62" i="3" s="1"/>
  <c r="E63" i="3" a="1"/>
  <c r="E63" i="3" s="1"/>
  <c r="E64" i="3" a="1"/>
  <c r="E64" i="3" s="1"/>
  <c r="E65" i="3" a="1"/>
  <c r="E65" i="3" s="1"/>
  <c r="E66" i="3" a="1"/>
  <c r="E66" i="3"/>
  <c r="E67" i="3" a="1"/>
  <c r="E67" i="3" s="1"/>
  <c r="E68" i="3" a="1"/>
  <c r="E68" i="3" s="1"/>
  <c r="E69" i="3" a="1"/>
  <c r="E69" i="3" s="1"/>
  <c r="E70" i="3" a="1"/>
  <c r="E70" i="3" s="1"/>
  <c r="E71" i="3" a="1"/>
  <c r="E71" i="3" s="1"/>
  <c r="E72" i="3" a="1"/>
  <c r="E72" i="3" s="1"/>
  <c r="E73" i="3" a="1"/>
  <c r="E73" i="3" s="1"/>
  <c r="E74" i="3" a="1"/>
  <c r="E74" i="3"/>
  <c r="E75" i="3" a="1"/>
  <c r="E75" i="3" s="1"/>
  <c r="E76" i="3" a="1"/>
  <c r="E76" i="3" s="1"/>
  <c r="E77" i="3" a="1"/>
  <c r="E77" i="3" s="1"/>
  <c r="E78" i="3" a="1"/>
  <c r="E78" i="3" s="1"/>
  <c r="E79" i="3" a="1"/>
  <c r="E79" i="3" s="1"/>
  <c r="E80" i="3" a="1"/>
  <c r="E80" i="3" s="1"/>
  <c r="E81" i="3" a="1"/>
  <c r="E81" i="3" s="1"/>
  <c r="E82" i="3" a="1"/>
  <c r="E82" i="3"/>
  <c r="E83" i="3" a="1"/>
  <c r="E83" i="3" s="1"/>
  <c r="E84" i="3" a="1"/>
  <c r="E84" i="3" s="1"/>
  <c r="E85" i="3" a="1"/>
  <c r="E85" i="3" s="1"/>
  <c r="E86" i="3" a="1"/>
  <c r="E86" i="3" s="1"/>
  <c r="E87" i="3" a="1"/>
  <c r="E87" i="3" s="1"/>
  <c r="E88" i="3" a="1"/>
  <c r="E88" i="3" s="1"/>
  <c r="E89" i="3" a="1"/>
  <c r="E89" i="3" s="1"/>
  <c r="E90" i="3" a="1"/>
  <c r="E90" i="3"/>
  <c r="E91" i="3" a="1"/>
  <c r="E91" i="3" s="1"/>
  <c r="E92" i="3" a="1"/>
  <c r="E92" i="3" s="1"/>
  <c r="E93" i="3" a="1"/>
  <c r="E93" i="3" s="1"/>
  <c r="E94" i="3" a="1"/>
  <c r="E94" i="3" s="1"/>
  <c r="E95" i="3" a="1"/>
  <c r="E95" i="3" s="1"/>
  <c r="E96" i="3" a="1"/>
  <c r="E96" i="3" s="1"/>
  <c r="E97" i="3" a="1"/>
  <c r="E97" i="3" s="1"/>
  <c r="E98" i="3" a="1"/>
  <c r="E98" i="3"/>
  <c r="E99" i="3" a="1"/>
  <c r="E99" i="3" s="1"/>
  <c r="E100" i="3" a="1"/>
  <c r="E100" i="3" s="1"/>
  <c r="E101" i="3" a="1"/>
  <c r="E101" i="3" s="1"/>
  <c r="E102" i="3" a="1"/>
  <c r="E102" i="3" s="1"/>
  <c r="E103" i="3" a="1"/>
  <c r="E103" i="3" s="1"/>
  <c r="E104" i="3" a="1"/>
  <c r="E104" i="3" s="1"/>
  <c r="E105" i="3" a="1"/>
  <c r="E105" i="3" s="1"/>
  <c r="E106" i="3" a="1"/>
  <c r="E106" i="3"/>
  <c r="E107" i="3" a="1"/>
  <c r="E107" i="3" s="1"/>
  <c r="E108" i="3" a="1"/>
  <c r="E108" i="3" s="1"/>
  <c r="E109" i="3" a="1"/>
  <c r="E109" i="3" s="1"/>
  <c r="E110" i="3" a="1"/>
  <c r="E110" i="3" s="1"/>
  <c r="E111" i="3" a="1"/>
  <c r="E111" i="3" s="1"/>
  <c r="E112" i="3" a="1"/>
  <c r="E112" i="3" s="1"/>
  <c r="E113" i="3" a="1"/>
  <c r="E113" i="3" s="1"/>
  <c r="E114" i="3" a="1"/>
  <c r="E114" i="3"/>
  <c r="E115" i="3" a="1"/>
  <c r="E115" i="3" s="1"/>
  <c r="E116" i="3" a="1"/>
  <c r="E116" i="3" s="1"/>
  <c r="E117" i="3" a="1"/>
  <c r="E117" i="3" s="1"/>
  <c r="E118" i="3" a="1"/>
  <c r="E118" i="3" s="1"/>
  <c r="E119" i="3" a="1"/>
  <c r="E119" i="3" s="1"/>
  <c r="E120" i="3" a="1"/>
  <c r="E120" i="3" s="1"/>
  <c r="E121" i="3" a="1"/>
  <c r="E121" i="3" s="1"/>
  <c r="E122" i="3" a="1"/>
  <c r="E122" i="3"/>
  <c r="E123" i="3" a="1"/>
  <c r="E123" i="3" s="1"/>
  <c r="E124" i="3" a="1"/>
  <c r="E124" i="3" s="1"/>
  <c r="E125" i="3" a="1"/>
  <c r="E125" i="3" s="1"/>
  <c r="E126" i="3" a="1"/>
  <c r="E126" i="3" s="1"/>
  <c r="E127" i="3" a="1"/>
  <c r="E127" i="3" s="1"/>
  <c r="E128" i="3" a="1"/>
  <c r="E128" i="3" s="1"/>
  <c r="E129" i="3" a="1"/>
  <c r="E129" i="3" s="1"/>
  <c r="E130" i="3" a="1"/>
  <c r="E130" i="3"/>
  <c r="E131" i="3" a="1"/>
  <c r="E131" i="3" s="1"/>
  <c r="E132" i="3" a="1"/>
  <c r="E132" i="3" s="1"/>
  <c r="E133" i="3" a="1"/>
  <c r="E133" i="3" s="1"/>
  <c r="E134" i="3" a="1"/>
  <c r="E134" i="3"/>
  <c r="E135" i="3" a="1"/>
  <c r="E135" i="3" s="1"/>
  <c r="E136" i="3" a="1"/>
  <c r="E136" i="3" s="1"/>
  <c r="E137" i="3" a="1"/>
  <c r="E137" i="3" s="1"/>
  <c r="E138" i="3" a="1"/>
  <c r="E138" i="3"/>
  <c r="E139" i="3" a="1"/>
  <c r="E139" i="3" s="1"/>
  <c r="E140" i="3" a="1"/>
  <c r="E140" i="3" s="1"/>
  <c r="E141" i="3" a="1"/>
  <c r="E141" i="3" s="1"/>
  <c r="E142" i="3" a="1"/>
  <c r="E142" i="3"/>
  <c r="E143" i="3" a="1"/>
  <c r="E143" i="3" s="1"/>
  <c r="E144" i="3" a="1"/>
  <c r="E144" i="3" s="1"/>
  <c r="E145" i="3" a="1"/>
  <c r="E145" i="3" s="1"/>
  <c r="E146" i="3" a="1"/>
  <c r="E146" i="3"/>
  <c r="E147" i="3" a="1"/>
  <c r="E147" i="3" s="1"/>
  <c r="E148" i="3" a="1"/>
  <c r="E148" i="3" s="1"/>
  <c r="E149" i="3" a="1"/>
  <c r="E149" i="3" s="1"/>
  <c r="E150" i="3" a="1"/>
  <c r="E150" i="3" s="1"/>
  <c r="E151" i="3" a="1"/>
  <c r="E151" i="3" s="1"/>
  <c r="E152" i="3" a="1"/>
  <c r="E152" i="3" s="1"/>
  <c r="E153" i="3" a="1"/>
  <c r="E153" i="3" s="1"/>
  <c r="E154" i="3" a="1"/>
  <c r="E154" i="3"/>
  <c r="E155" i="3" a="1"/>
  <c r="E155" i="3" s="1"/>
  <c r="E156" i="3" a="1"/>
  <c r="E156" i="3" s="1"/>
  <c r="E157" i="3" a="1"/>
  <c r="E157" i="3" s="1"/>
  <c r="E158" i="3" a="1"/>
  <c r="E158" i="3" s="1"/>
  <c r="E159" i="3" a="1"/>
  <c r="E159" i="3" s="1"/>
  <c r="E160" i="3" a="1"/>
  <c r="E160" i="3" s="1"/>
  <c r="E161" i="3" a="1"/>
  <c r="E161" i="3" s="1"/>
  <c r="E162" i="3" a="1"/>
  <c r="E162" i="3"/>
  <c r="E163" i="3" a="1"/>
  <c r="E163" i="3" s="1"/>
  <c r="E164" i="3" a="1"/>
  <c r="E164" i="3" s="1"/>
  <c r="E165" i="3" a="1"/>
  <c r="E165" i="3" s="1"/>
  <c r="E166" i="3" a="1"/>
  <c r="E166" i="3" s="1"/>
  <c r="E167" i="3" a="1"/>
  <c r="E167" i="3" s="1"/>
  <c r="E168" i="3" a="1"/>
  <c r="E168" i="3" s="1"/>
  <c r="E169" i="3" a="1"/>
  <c r="E169" i="3" s="1"/>
  <c r="E170" i="3" a="1"/>
  <c r="E170" i="3"/>
  <c r="E171" i="3" a="1"/>
  <c r="E171" i="3" s="1"/>
  <c r="E172" i="3" a="1"/>
  <c r="E172" i="3" s="1"/>
  <c r="E173" i="3" a="1"/>
  <c r="E173" i="3" s="1"/>
  <c r="E174" i="3" a="1"/>
  <c r="E174" i="3" s="1"/>
  <c r="E175" i="3" a="1"/>
  <c r="E175" i="3" s="1"/>
  <c r="E176" i="3" a="1"/>
  <c r="E176" i="3" s="1"/>
  <c r="E177" i="3" a="1"/>
  <c r="E177" i="3" s="1"/>
  <c r="E178" i="3" a="1"/>
  <c r="E178" i="3" s="1"/>
  <c r="E179" i="3" a="1"/>
  <c r="E179" i="3" s="1"/>
  <c r="E180" i="3" a="1"/>
  <c r="E180" i="3" s="1"/>
  <c r="E181" i="3" a="1"/>
  <c r="E181" i="3" s="1"/>
  <c r="E182" i="3" a="1"/>
  <c r="E182" i="3" s="1"/>
  <c r="E183" i="3" a="1"/>
  <c r="E183" i="3" s="1"/>
  <c r="E184" i="3" a="1"/>
  <c r="E184" i="3" s="1"/>
  <c r="E185" i="3" a="1"/>
  <c r="E185" i="3" s="1"/>
  <c r="E186" i="3" a="1"/>
  <c r="E186" i="3" s="1"/>
  <c r="E187" i="3" a="1"/>
  <c r="E187" i="3" s="1"/>
  <c r="E188" i="3" a="1"/>
  <c r="E188" i="3" s="1"/>
  <c r="E189" i="3" a="1"/>
  <c r="E189" i="3" s="1"/>
  <c r="E190" i="3" a="1"/>
  <c r="E190" i="3" s="1"/>
  <c r="E191" i="3" a="1"/>
  <c r="E191" i="3" s="1"/>
  <c r="E192" i="3" a="1"/>
  <c r="E192" i="3" s="1"/>
  <c r="E193" i="3" a="1"/>
  <c r="E193" i="3" s="1"/>
  <c r="E194" i="3" a="1"/>
  <c r="E194" i="3" s="1"/>
  <c r="E195" i="3" a="1"/>
  <c r="E195" i="3" s="1"/>
  <c r="E196" i="3" a="1"/>
  <c r="E196" i="3" s="1"/>
  <c r="E197" i="3" a="1"/>
  <c r="E197" i="3" s="1"/>
  <c r="E198" i="3" a="1"/>
  <c r="E198" i="3" s="1"/>
  <c r="E199" i="3" a="1"/>
  <c r="E199" i="3" s="1"/>
  <c r="E200" i="3" a="1"/>
  <c r="E200" i="3" s="1"/>
  <c r="E201" i="3" a="1"/>
  <c r="E201" i="3" s="1"/>
  <c r="E2" i="3" a="1"/>
  <c r="E2" i="3" s="1"/>
  <c r="D25" i="3" a="1"/>
  <c r="D25" i="3" s="1"/>
  <c r="D26" i="3" a="1"/>
  <c r="D26" i="3"/>
  <c r="D27" i="3" a="1"/>
  <c r="D27" i="3" s="1"/>
  <c r="D28" i="3" a="1"/>
  <c r="D28" i="3"/>
  <c r="D29" i="3" a="1"/>
  <c r="D29" i="3" s="1"/>
  <c r="D30" i="3" a="1"/>
  <c r="D30" i="3" s="1"/>
  <c r="D31" i="3" a="1"/>
  <c r="D31" i="3" s="1"/>
  <c r="D32" i="3" a="1"/>
  <c r="D32" i="3"/>
  <c r="D33" i="3" a="1"/>
  <c r="D33" i="3" s="1"/>
  <c r="D34" i="3" a="1"/>
  <c r="D34" i="3" s="1"/>
  <c r="D35" i="3" a="1"/>
  <c r="D35" i="3" s="1"/>
  <c r="D36" i="3" a="1"/>
  <c r="D36" i="3" s="1"/>
  <c r="D37" i="3" a="1"/>
  <c r="D37" i="3" s="1"/>
  <c r="D38" i="3" a="1"/>
  <c r="D38" i="3" s="1"/>
  <c r="D39" i="3" a="1"/>
  <c r="D39" i="3" s="1"/>
  <c r="D40" i="3" a="1"/>
  <c r="D40" i="3"/>
  <c r="D41" i="3" a="1"/>
  <c r="D41" i="3" s="1"/>
  <c r="D42" i="3" a="1"/>
  <c r="D42" i="3" s="1"/>
  <c r="D43" i="3" a="1"/>
  <c r="D43" i="3" s="1"/>
  <c r="D44" i="3" a="1"/>
  <c r="D44" i="3" s="1"/>
  <c r="D45" i="3" a="1"/>
  <c r="D45" i="3" s="1"/>
  <c r="D46" i="3" a="1"/>
  <c r="D46" i="3" s="1"/>
  <c r="D47" i="3" a="1"/>
  <c r="D47" i="3" s="1"/>
  <c r="D48" i="3" a="1"/>
  <c r="D48" i="3"/>
  <c r="D49" i="3" a="1"/>
  <c r="D49" i="3" s="1"/>
  <c r="D50" i="3" a="1"/>
  <c r="D50" i="3" s="1"/>
  <c r="D51" i="3" a="1"/>
  <c r="D51" i="3" s="1"/>
  <c r="D52" i="3" a="1"/>
  <c r="D52" i="3" s="1"/>
  <c r="D53" i="3" a="1"/>
  <c r="D53" i="3" s="1"/>
  <c r="D54" i="3" a="1"/>
  <c r="D54" i="3" s="1"/>
  <c r="D55" i="3" a="1"/>
  <c r="D55" i="3" s="1"/>
  <c r="D56" i="3" a="1"/>
  <c r="D56" i="3"/>
  <c r="D57" i="3" a="1"/>
  <c r="D57" i="3" s="1"/>
  <c r="D58" i="3" a="1"/>
  <c r="D58" i="3"/>
  <c r="D59" i="3" a="1"/>
  <c r="D59" i="3" s="1"/>
  <c r="D60" i="3" a="1"/>
  <c r="D60" i="3" s="1"/>
  <c r="D61" i="3" a="1"/>
  <c r="D61" i="3" s="1"/>
  <c r="D62" i="3" a="1"/>
  <c r="D62" i="3" s="1"/>
  <c r="D63" i="3" a="1"/>
  <c r="D63" i="3" s="1"/>
  <c r="D64" i="3" a="1"/>
  <c r="D64" i="3"/>
  <c r="D65" i="3" a="1"/>
  <c r="D65" i="3" s="1"/>
  <c r="D66" i="3" a="1"/>
  <c r="D66" i="3" s="1"/>
  <c r="D67" i="3" a="1"/>
  <c r="D67" i="3" s="1"/>
  <c r="D68" i="3" a="1"/>
  <c r="D68" i="3" s="1"/>
  <c r="D69" i="3" a="1"/>
  <c r="D69" i="3" s="1"/>
  <c r="D70" i="3" a="1"/>
  <c r="D70" i="3" s="1"/>
  <c r="D71" i="3" a="1"/>
  <c r="D71" i="3" s="1"/>
  <c r="D72" i="3" a="1"/>
  <c r="D72" i="3"/>
  <c r="D73" i="3" a="1"/>
  <c r="D73" i="3" s="1"/>
  <c r="D74" i="3" a="1"/>
  <c r="D74" i="3" s="1"/>
  <c r="D75" i="3" a="1"/>
  <c r="D75" i="3" s="1"/>
  <c r="D76" i="3" a="1"/>
  <c r="D76" i="3" s="1"/>
  <c r="D77" i="3" a="1"/>
  <c r="D77" i="3" s="1"/>
  <c r="D78" i="3" a="1"/>
  <c r="D78" i="3" s="1"/>
  <c r="D79" i="3" a="1"/>
  <c r="D79" i="3" s="1"/>
  <c r="D80" i="3" a="1"/>
  <c r="D80" i="3"/>
  <c r="D81" i="3" a="1"/>
  <c r="D81" i="3" s="1"/>
  <c r="D82" i="3" a="1"/>
  <c r="D82" i="3" s="1"/>
  <c r="D83" i="3" a="1"/>
  <c r="D83" i="3" s="1"/>
  <c r="D84" i="3" a="1"/>
  <c r="D84" i="3" s="1"/>
  <c r="D85" i="3" a="1"/>
  <c r="D85" i="3" s="1"/>
  <c r="D86" i="3" a="1"/>
  <c r="D86" i="3" s="1"/>
  <c r="D87" i="3" a="1"/>
  <c r="D87" i="3" s="1"/>
  <c r="D88" i="3" a="1"/>
  <c r="D88" i="3"/>
  <c r="D89" i="3" a="1"/>
  <c r="D89" i="3" s="1"/>
  <c r="D90" i="3" a="1"/>
  <c r="D90" i="3" s="1"/>
  <c r="D91" i="3" a="1"/>
  <c r="D91" i="3" s="1"/>
  <c r="D92" i="3" a="1"/>
  <c r="D92" i="3" s="1"/>
  <c r="D93" i="3" a="1"/>
  <c r="D93" i="3" s="1"/>
  <c r="D94" i="3" a="1"/>
  <c r="D94" i="3" s="1"/>
  <c r="D95" i="3" a="1"/>
  <c r="D95" i="3" s="1"/>
  <c r="D96" i="3" a="1"/>
  <c r="D96" i="3"/>
  <c r="D97" i="3" a="1"/>
  <c r="D97" i="3" s="1"/>
  <c r="D98" i="3" a="1"/>
  <c r="D98" i="3" s="1"/>
  <c r="D99" i="3" a="1"/>
  <c r="D99" i="3" s="1"/>
  <c r="D100" i="3" a="1"/>
  <c r="D100" i="3" s="1"/>
  <c r="D101" i="3" a="1"/>
  <c r="D101" i="3" s="1"/>
  <c r="D102" i="3" a="1"/>
  <c r="D102" i="3" s="1"/>
  <c r="D103" i="3" a="1"/>
  <c r="D103" i="3" s="1"/>
  <c r="D104" i="3" a="1"/>
  <c r="D104" i="3"/>
  <c r="D105" i="3" a="1"/>
  <c r="D105" i="3" s="1"/>
  <c r="D106" i="3" a="1"/>
  <c r="D106" i="3"/>
  <c r="D107" i="3" a="1"/>
  <c r="D107" i="3" s="1"/>
  <c r="D108" i="3" a="1"/>
  <c r="D108" i="3" s="1"/>
  <c r="D109" i="3" a="1"/>
  <c r="D109" i="3" s="1"/>
  <c r="D110" i="3" a="1"/>
  <c r="D110" i="3" s="1"/>
  <c r="D111" i="3" a="1"/>
  <c r="D111" i="3" s="1"/>
  <c r="D112" i="3" a="1"/>
  <c r="D112" i="3"/>
  <c r="D113" i="3" a="1"/>
  <c r="D113" i="3" s="1"/>
  <c r="D114" i="3" a="1"/>
  <c r="D114" i="3"/>
  <c r="D115" i="3" a="1"/>
  <c r="D115" i="3" s="1"/>
  <c r="D116" i="3" a="1"/>
  <c r="D116" i="3" s="1"/>
  <c r="D117" i="3" a="1"/>
  <c r="D117" i="3" s="1"/>
  <c r="D118" i="3" a="1"/>
  <c r="D118" i="3" s="1"/>
  <c r="D119" i="3" a="1"/>
  <c r="D119" i="3" s="1"/>
  <c r="D120" i="3" a="1"/>
  <c r="D120" i="3"/>
  <c r="D121" i="3" a="1"/>
  <c r="D121" i="3" s="1"/>
  <c r="D122" i="3" a="1"/>
  <c r="D122" i="3"/>
  <c r="D123" i="3" a="1"/>
  <c r="D123" i="3" s="1"/>
  <c r="D124" i="3" a="1"/>
  <c r="D124" i="3" s="1"/>
  <c r="D125" i="3" a="1"/>
  <c r="D125" i="3" s="1"/>
  <c r="D126" i="3" a="1"/>
  <c r="D126" i="3" s="1"/>
  <c r="D127" i="3" a="1"/>
  <c r="D127" i="3" s="1"/>
  <c r="D128" i="3" a="1"/>
  <c r="D128" i="3"/>
  <c r="D129" i="3" a="1"/>
  <c r="D129" i="3" s="1"/>
  <c r="D130" i="3" a="1"/>
  <c r="D130" i="3" s="1"/>
  <c r="D131" i="3" a="1"/>
  <c r="D131" i="3" s="1"/>
  <c r="D132" i="3" a="1"/>
  <c r="D132" i="3" s="1"/>
  <c r="D133" i="3" a="1"/>
  <c r="D133" i="3" s="1"/>
  <c r="D134" i="3" a="1"/>
  <c r="D134" i="3" s="1"/>
  <c r="D135" i="3" a="1"/>
  <c r="D135" i="3" s="1"/>
  <c r="D136" i="3" a="1"/>
  <c r="D136" i="3"/>
  <c r="D137" i="3" a="1"/>
  <c r="D137" i="3" s="1"/>
  <c r="D138" i="3" a="1"/>
  <c r="D138" i="3" s="1"/>
  <c r="D139" i="3" a="1"/>
  <c r="D139" i="3" s="1"/>
  <c r="D140" i="3" a="1"/>
  <c r="D140" i="3" s="1"/>
  <c r="D141" i="3" a="1"/>
  <c r="D141" i="3" s="1"/>
  <c r="D142" i="3" a="1"/>
  <c r="D142" i="3" s="1"/>
  <c r="D143" i="3" a="1"/>
  <c r="D143" i="3" s="1"/>
  <c r="D144" i="3" a="1"/>
  <c r="D144" i="3"/>
  <c r="D145" i="3" a="1"/>
  <c r="D145" i="3" s="1"/>
  <c r="D146" i="3" a="1"/>
  <c r="D146" i="3" s="1"/>
  <c r="D147" i="3" a="1"/>
  <c r="D147" i="3" s="1"/>
  <c r="D148" i="3" a="1"/>
  <c r="D148" i="3" s="1"/>
  <c r="D149" i="3" a="1"/>
  <c r="D149" i="3" s="1"/>
  <c r="D150" i="3" a="1"/>
  <c r="D150" i="3" s="1"/>
  <c r="D151" i="3" a="1"/>
  <c r="D151" i="3" s="1"/>
  <c r="D152" i="3" a="1"/>
  <c r="D152" i="3"/>
  <c r="D153" i="3" a="1"/>
  <c r="D153" i="3" s="1"/>
  <c r="D154" i="3" a="1"/>
  <c r="D154" i="3" s="1"/>
  <c r="D155" i="3" a="1"/>
  <c r="D155" i="3" s="1"/>
  <c r="D156" i="3" a="1"/>
  <c r="D156" i="3" s="1"/>
  <c r="D157" i="3" a="1"/>
  <c r="D157" i="3" s="1"/>
  <c r="D158" i="3" a="1"/>
  <c r="D158" i="3" s="1"/>
  <c r="D159" i="3" a="1"/>
  <c r="D159" i="3" s="1"/>
  <c r="D160" i="3" a="1"/>
  <c r="D160" i="3"/>
  <c r="D161" i="3" a="1"/>
  <c r="D161" i="3" s="1"/>
  <c r="D162" i="3" a="1"/>
  <c r="D162" i="3" s="1"/>
  <c r="D163" i="3" a="1"/>
  <c r="D163" i="3" s="1"/>
  <c r="D164" i="3" a="1"/>
  <c r="D164" i="3" s="1"/>
  <c r="D165" i="3" a="1"/>
  <c r="D165" i="3" s="1"/>
  <c r="D166" i="3" a="1"/>
  <c r="D166" i="3" s="1"/>
  <c r="D167" i="3" a="1"/>
  <c r="D167" i="3" s="1"/>
  <c r="D168" i="3" a="1"/>
  <c r="D168" i="3"/>
  <c r="D169" i="3" a="1"/>
  <c r="D169" i="3" s="1"/>
  <c r="D170" i="3" a="1"/>
  <c r="D170" i="3" s="1"/>
  <c r="D171" i="3" a="1"/>
  <c r="D171" i="3" s="1"/>
  <c r="D172" i="3" a="1"/>
  <c r="D172" i="3" s="1"/>
  <c r="D173" i="3" a="1"/>
  <c r="D173" i="3" s="1"/>
  <c r="D174" i="3" a="1"/>
  <c r="D174" i="3" s="1"/>
  <c r="D175" i="3" a="1"/>
  <c r="D175" i="3" s="1"/>
  <c r="D176" i="3" a="1"/>
  <c r="D176" i="3"/>
  <c r="D177" i="3" a="1"/>
  <c r="D177" i="3" s="1"/>
  <c r="D178" i="3" a="1"/>
  <c r="D178" i="3" s="1"/>
  <c r="D179" i="3" a="1"/>
  <c r="D179" i="3" s="1"/>
  <c r="D180" i="3" a="1"/>
  <c r="D180" i="3" s="1"/>
  <c r="D181" i="3" a="1"/>
  <c r="D181" i="3" s="1"/>
  <c r="D182" i="3" a="1"/>
  <c r="D182" i="3" s="1"/>
  <c r="D183" i="3" a="1"/>
  <c r="D183" i="3" s="1"/>
  <c r="D184" i="3" a="1"/>
  <c r="D184" i="3"/>
  <c r="D185" i="3" a="1"/>
  <c r="D185" i="3" s="1"/>
  <c r="D186" i="3" a="1"/>
  <c r="D186" i="3" s="1"/>
  <c r="D187" i="3" a="1"/>
  <c r="D187" i="3" s="1"/>
  <c r="D188" i="3" a="1"/>
  <c r="D188" i="3" s="1"/>
  <c r="D189" i="3" a="1"/>
  <c r="D189" i="3" s="1"/>
  <c r="D190" i="3" a="1"/>
  <c r="D190" i="3" s="1"/>
  <c r="D191" i="3" a="1"/>
  <c r="D191" i="3" s="1"/>
  <c r="D192" i="3" a="1"/>
  <c r="D192" i="3"/>
  <c r="D193" i="3" a="1"/>
  <c r="D193" i="3" s="1"/>
  <c r="D194" i="3" a="1"/>
  <c r="D194" i="3" s="1"/>
  <c r="D195" i="3" a="1"/>
  <c r="D195" i="3" s="1"/>
  <c r="D196" i="3" a="1"/>
  <c r="D196" i="3" s="1"/>
  <c r="D197" i="3" a="1"/>
  <c r="D197" i="3" s="1"/>
  <c r="D198" i="3" a="1"/>
  <c r="D198" i="3" s="1"/>
  <c r="D199" i="3" a="1"/>
  <c r="D199" i="3" s="1"/>
  <c r="D200" i="3" a="1"/>
  <c r="D200" i="3" s="1"/>
  <c r="D201" i="3" a="1"/>
  <c r="D201" i="3" s="1"/>
  <c r="D3" i="3" a="1"/>
  <c r="D3" i="3" s="1"/>
  <c r="D4" i="3" a="1"/>
  <c r="D4" i="3"/>
  <c r="D5" i="3" a="1"/>
  <c r="D5" i="3" s="1"/>
  <c r="D6" i="3" a="1"/>
  <c r="D6" i="3"/>
  <c r="D7" i="3" a="1"/>
  <c r="D7" i="3" s="1"/>
  <c r="D8" i="3" a="1"/>
  <c r="D8" i="3"/>
  <c r="D9" i="3" a="1"/>
  <c r="D9" i="3" s="1"/>
  <c r="D10" i="3" a="1"/>
  <c r="D10" i="3"/>
  <c r="D11" i="3" a="1"/>
  <c r="D11" i="3" s="1"/>
  <c r="D12" i="3" a="1"/>
  <c r="D12" i="3"/>
  <c r="D13" i="3" a="1"/>
  <c r="D13" i="3" s="1"/>
  <c r="D14" i="3" a="1"/>
  <c r="D14" i="3"/>
  <c r="D15" i="3" a="1"/>
  <c r="D15" i="3" s="1"/>
  <c r="D16" i="3" a="1"/>
  <c r="D16" i="3"/>
  <c r="D17" i="3" a="1"/>
  <c r="D17" i="3" s="1"/>
  <c r="D18" i="3" a="1"/>
  <c r="D18" i="3"/>
  <c r="D19" i="3" a="1"/>
  <c r="D19" i="3" s="1"/>
  <c r="D20" i="3" a="1"/>
  <c r="D20" i="3"/>
  <c r="D21" i="3" a="1"/>
  <c r="D21" i="3" s="1"/>
  <c r="D22" i="3" a="1"/>
  <c r="D22" i="3"/>
  <c r="D23" i="3" a="1"/>
  <c r="D23" i="3" s="1"/>
  <c r="D24" i="3" a="1"/>
  <c r="D24" i="3"/>
  <c r="D2" i="3" a="1"/>
  <c r="D2" i="3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" i="3"/>
  <c r="F16" i="2" a="1"/>
  <c r="F16" i="2" s="1"/>
  <c r="F17" i="2" a="1"/>
  <c r="F17" i="2"/>
  <c r="F18" i="2" a="1"/>
  <c r="F18" i="2" s="1"/>
  <c r="F19" i="2" a="1"/>
  <c r="F19" i="2"/>
  <c r="F20" i="2" a="1"/>
  <c r="F20" i="2" s="1"/>
  <c r="F21" i="2" a="1"/>
  <c r="F21" i="2"/>
  <c r="F22" i="2" a="1"/>
  <c r="F22" i="2" s="1"/>
  <c r="F23" i="2" a="1"/>
  <c r="F23" i="2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/>
  <c r="F48" i="2" a="1"/>
  <c r="F48" i="2" s="1"/>
  <c r="F49" i="2" a="1"/>
  <c r="F49" i="2" s="1"/>
  <c r="F50" i="2" a="1"/>
  <c r="F50" i="2" s="1"/>
  <c r="F51" i="2" a="1"/>
  <c r="F51" i="2" s="1"/>
  <c r="F52" i="2" a="1"/>
  <c r="F52" i="2" s="1"/>
  <c r="F53" i="2" a="1"/>
  <c r="F53" i="2" s="1"/>
  <c r="F54" i="2" a="1"/>
  <c r="F54" i="2" s="1"/>
  <c r="F55" i="2" a="1"/>
  <c r="F55" i="2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 s="1"/>
  <c r="F62" i="2" a="1"/>
  <c r="F62" i="2" s="1"/>
  <c r="F63" i="2" a="1"/>
  <c r="F63" i="2"/>
  <c r="F64" i="2" a="1"/>
  <c r="F64" i="2" s="1"/>
  <c r="F65" i="2" a="1"/>
  <c r="F65" i="2" s="1"/>
  <c r="F66" i="2" a="1"/>
  <c r="F66" i="2" s="1"/>
  <c r="F67" i="2" a="1"/>
  <c r="F67" i="2" s="1"/>
  <c r="F68" i="2" a="1"/>
  <c r="F68" i="2" s="1"/>
  <c r="F69" i="2" a="1"/>
  <c r="F69" i="2" s="1"/>
  <c r="F70" i="2" a="1"/>
  <c r="F70" i="2" s="1"/>
  <c r="F71" i="2" a="1"/>
  <c r="F71" i="2"/>
  <c r="F72" i="2" a="1"/>
  <c r="F72" i="2" s="1"/>
  <c r="F73" i="2" a="1"/>
  <c r="F73" i="2" s="1"/>
  <c r="F74" i="2" a="1"/>
  <c r="F74" i="2" s="1"/>
  <c r="F75" i="2" a="1"/>
  <c r="F75" i="2" s="1"/>
  <c r="F76" i="2" a="1"/>
  <c r="F76" i="2" s="1"/>
  <c r="F77" i="2" a="1"/>
  <c r="F77" i="2" s="1"/>
  <c r="F78" i="2" a="1"/>
  <c r="F78" i="2" s="1"/>
  <c r="F79" i="2" a="1"/>
  <c r="F79" i="2"/>
  <c r="F80" i="2" a="1"/>
  <c r="F80" i="2" s="1"/>
  <c r="F81" i="2" a="1"/>
  <c r="F81" i="2" s="1"/>
  <c r="F82" i="2" a="1"/>
  <c r="F82" i="2" s="1"/>
  <c r="F83" i="2" a="1"/>
  <c r="F83" i="2" s="1"/>
  <c r="F84" i="2" a="1"/>
  <c r="F84" i="2" s="1"/>
  <c r="F85" i="2" a="1"/>
  <c r="F85" i="2" s="1"/>
  <c r="F86" i="2" a="1"/>
  <c r="F86" i="2" s="1"/>
  <c r="F87" i="2" a="1"/>
  <c r="F87" i="2"/>
  <c r="F88" i="2" a="1"/>
  <c r="F88" i="2" s="1"/>
  <c r="F89" i="2" a="1"/>
  <c r="F89" i="2" s="1"/>
  <c r="F90" i="2" a="1"/>
  <c r="F90" i="2" s="1"/>
  <c r="F91" i="2" a="1"/>
  <c r="F91" i="2" s="1"/>
  <c r="F92" i="2" a="1"/>
  <c r="F92" i="2" s="1"/>
  <c r="F93" i="2" a="1"/>
  <c r="F93" i="2" s="1"/>
  <c r="F94" i="2" a="1"/>
  <c r="F94" i="2" s="1"/>
  <c r="F95" i="2" a="1"/>
  <c r="F95" i="2"/>
  <c r="F96" i="2" a="1"/>
  <c r="F96" i="2" s="1"/>
  <c r="F97" i="2" a="1"/>
  <c r="F97" i="2" s="1"/>
  <c r="F98" i="2" a="1"/>
  <c r="F98" i="2" s="1"/>
  <c r="F99" i="2" a="1"/>
  <c r="F99" i="2" s="1"/>
  <c r="F100" i="2" a="1"/>
  <c r="F100" i="2" s="1"/>
  <c r="F101" i="2" a="1"/>
  <c r="F101" i="2" s="1"/>
  <c r="F102" i="2" a="1"/>
  <c r="F102" i="2" s="1"/>
  <c r="F103" i="2" a="1"/>
  <c r="F103" i="2"/>
  <c r="F104" i="2" a="1"/>
  <c r="F104" i="2" s="1"/>
  <c r="F105" i="2" a="1"/>
  <c r="F105" i="2" s="1"/>
  <c r="F106" i="2" a="1"/>
  <c r="F106" i="2" s="1"/>
  <c r="F107" i="2" a="1"/>
  <c r="F107" i="2" s="1"/>
  <c r="F108" i="2" a="1"/>
  <c r="F108" i="2" s="1"/>
  <c r="F109" i="2" a="1"/>
  <c r="F109" i="2" s="1"/>
  <c r="F110" i="2" a="1"/>
  <c r="F110" i="2" s="1"/>
  <c r="F111" i="2" a="1"/>
  <c r="F111" i="2"/>
  <c r="F112" i="2" a="1"/>
  <c r="F112" i="2" s="1"/>
  <c r="F113" i="2" a="1"/>
  <c r="F113" i="2" s="1"/>
  <c r="F114" i="2" a="1"/>
  <c r="F114" i="2" s="1"/>
  <c r="F115" i="2" a="1"/>
  <c r="F115" i="2" s="1"/>
  <c r="F116" i="2" a="1"/>
  <c r="F116" i="2" s="1"/>
  <c r="F117" i="2" a="1"/>
  <c r="F117" i="2" s="1"/>
  <c r="F118" i="2" a="1"/>
  <c r="F118" i="2" s="1"/>
  <c r="F119" i="2" a="1"/>
  <c r="F119" i="2"/>
  <c r="F120" i="2" a="1"/>
  <c r="F120" i="2" s="1"/>
  <c r="F121" i="2" a="1"/>
  <c r="F121" i="2" s="1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/>
  <c r="F128" i="2" a="1"/>
  <c r="F128" i="2" s="1"/>
  <c r="F129" i="2" a="1"/>
  <c r="F129" i="2" s="1"/>
  <c r="F130" i="2" a="1"/>
  <c r="F130" i="2" s="1"/>
  <c r="F131" i="2" a="1"/>
  <c r="F131" i="2" s="1"/>
  <c r="F132" i="2" a="1"/>
  <c r="F132" i="2" s="1"/>
  <c r="F133" i="2" a="1"/>
  <c r="F133" i="2" s="1"/>
  <c r="F134" i="2" a="1"/>
  <c r="F134" i="2" s="1"/>
  <c r="F135" i="2" a="1"/>
  <c r="F135" i="2"/>
  <c r="F136" i="2" a="1"/>
  <c r="F136" i="2" s="1"/>
  <c r="F137" i="2" a="1"/>
  <c r="F137" i="2" s="1"/>
  <c r="F138" i="2" a="1"/>
  <c r="F138" i="2" s="1"/>
  <c r="F139" i="2" a="1"/>
  <c r="F139" i="2" s="1"/>
  <c r="F140" i="2" a="1"/>
  <c r="F140" i="2" s="1"/>
  <c r="F141" i="2" a="1"/>
  <c r="F141" i="2" s="1"/>
  <c r="F142" i="2" a="1"/>
  <c r="F142" i="2" s="1"/>
  <c r="F143" i="2" a="1"/>
  <c r="F143" i="2"/>
  <c r="F144" i="2" a="1"/>
  <c r="F144" i="2" s="1"/>
  <c r="F145" i="2" a="1"/>
  <c r="F145" i="2" s="1"/>
  <c r="F146" i="2" a="1"/>
  <c r="F146" i="2" s="1"/>
  <c r="F147" i="2" a="1"/>
  <c r="F147" i="2" s="1"/>
  <c r="F148" i="2" a="1"/>
  <c r="F148" i="2" s="1"/>
  <c r="F149" i="2" a="1"/>
  <c r="F149" i="2" s="1"/>
  <c r="F150" i="2" a="1"/>
  <c r="F150" i="2" s="1"/>
  <c r="F151" i="2" a="1"/>
  <c r="F151" i="2"/>
  <c r="F152" i="2" a="1"/>
  <c r="F152" i="2" s="1"/>
  <c r="F153" i="2" a="1"/>
  <c r="F153" i="2" s="1"/>
  <c r="F154" i="2" a="1"/>
  <c r="F154" i="2" s="1"/>
  <c r="F155" i="2" a="1"/>
  <c r="F155" i="2" s="1"/>
  <c r="F156" i="2" a="1"/>
  <c r="F156" i="2" s="1"/>
  <c r="F157" i="2" a="1"/>
  <c r="F157" i="2" s="1"/>
  <c r="F158" i="2" a="1"/>
  <c r="F158" i="2" s="1"/>
  <c r="F159" i="2" a="1"/>
  <c r="F159" i="2"/>
  <c r="F160" i="2" a="1"/>
  <c r="F160" i="2" s="1"/>
  <c r="F161" i="2" a="1"/>
  <c r="F161" i="2" s="1"/>
  <c r="F162" i="2" a="1"/>
  <c r="F162" i="2" s="1"/>
  <c r="F163" i="2" a="1"/>
  <c r="F163" i="2" s="1"/>
  <c r="F164" i="2" a="1"/>
  <c r="F164" i="2" s="1"/>
  <c r="F165" i="2" a="1"/>
  <c r="F165" i="2" s="1"/>
  <c r="F166" i="2" a="1"/>
  <c r="F166" i="2" s="1"/>
  <c r="F167" i="2" a="1"/>
  <c r="F167" i="2"/>
  <c r="F168" i="2" a="1"/>
  <c r="F168" i="2" s="1"/>
  <c r="F169" i="2" a="1"/>
  <c r="F169" i="2" s="1"/>
  <c r="F170" i="2" a="1"/>
  <c r="F170" i="2" s="1"/>
  <c r="F171" i="2" a="1"/>
  <c r="F171" i="2" s="1"/>
  <c r="F172" i="2" a="1"/>
  <c r="F172" i="2" s="1"/>
  <c r="F173" i="2" a="1"/>
  <c r="F173" i="2" s="1"/>
  <c r="F174" i="2" a="1"/>
  <c r="F174" i="2" s="1"/>
  <c r="F175" i="2" a="1"/>
  <c r="F175" i="2"/>
  <c r="F176" i="2" a="1"/>
  <c r="F176" i="2" s="1"/>
  <c r="F177" i="2" a="1"/>
  <c r="F177" i="2" s="1"/>
  <c r="F178" i="2" a="1"/>
  <c r="F178" i="2" s="1"/>
  <c r="F179" i="2" a="1"/>
  <c r="F179" i="2" s="1"/>
  <c r="F180" i="2" a="1"/>
  <c r="F180" i="2" s="1"/>
  <c r="F181" i="2" a="1"/>
  <c r="F181" i="2" s="1"/>
  <c r="F182" i="2" a="1"/>
  <c r="F182" i="2" s="1"/>
  <c r="F183" i="2" a="1"/>
  <c r="F183" i="2"/>
  <c r="F184" i="2" a="1"/>
  <c r="F184" i="2" s="1"/>
  <c r="F185" i="2" a="1"/>
  <c r="F185" i="2" s="1"/>
  <c r="F186" i="2" a="1"/>
  <c r="F186" i="2" s="1"/>
  <c r="F187" i="2" a="1"/>
  <c r="F187" i="2" s="1"/>
  <c r="F188" i="2" a="1"/>
  <c r="F188" i="2" s="1"/>
  <c r="F189" i="2" a="1"/>
  <c r="F189" i="2" s="1"/>
  <c r="F190" i="2" a="1"/>
  <c r="F190" i="2" s="1"/>
  <c r="F191" i="2" a="1"/>
  <c r="F191" i="2" s="1"/>
  <c r="F192" i="2" a="1"/>
  <c r="F192" i="2" s="1"/>
  <c r="F193" i="2" a="1"/>
  <c r="F193" i="2" s="1"/>
  <c r="F194" i="2" a="1"/>
  <c r="F194" i="2" s="1"/>
  <c r="F195" i="2" a="1"/>
  <c r="F195" i="2" s="1"/>
  <c r="F196" i="2" a="1"/>
  <c r="F196" i="2" s="1"/>
  <c r="F197" i="2" a="1"/>
  <c r="F197" i="2" s="1"/>
  <c r="F198" i="2" a="1"/>
  <c r="F198" i="2" s="1"/>
  <c r="F199" i="2" a="1"/>
  <c r="F199" i="2" s="1"/>
  <c r="F200" i="2" a="1"/>
  <c r="F200" i="2" s="1"/>
  <c r="F201" i="2" a="1"/>
  <c r="F201" i="2" s="1"/>
  <c r="F3" i="2" a="1"/>
  <c r="F3" i="2" s="1"/>
  <c r="F4" i="2" a="1"/>
  <c r="F4" i="2"/>
  <c r="F5" i="2" a="1"/>
  <c r="F5" i="2" s="1"/>
  <c r="F6" i="2" a="1"/>
  <c r="F6" i="2"/>
  <c r="F7" i="2" a="1"/>
  <c r="F7" i="2" s="1"/>
  <c r="F8" i="2" a="1"/>
  <c r="F8" i="2"/>
  <c r="F9" i="2" a="1"/>
  <c r="F9" i="2" s="1"/>
  <c r="F10" i="2" a="1"/>
  <c r="F10" i="2"/>
  <c r="F11" i="2" a="1"/>
  <c r="F11" i="2" s="1"/>
  <c r="F12" i="2" a="1"/>
  <c r="F12" i="2"/>
  <c r="F13" i="2" a="1"/>
  <c r="F13" i="2" s="1"/>
  <c r="F14" i="2" a="1"/>
  <c r="F14" i="2"/>
  <c r="F15" i="2" a="1"/>
  <c r="F15" i="2" s="1"/>
  <c r="F2" i="2" a="1"/>
  <c r="F2" i="2" s="1"/>
  <c r="E3" i="2" a="1"/>
  <c r="E3" i="2" s="1"/>
  <c r="E4" i="2" a="1"/>
  <c r="E4" i="2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/>
  <c r="E19" i="2" a="1"/>
  <c r="E19" i="2" s="1"/>
  <c r="E20" i="2" a="1"/>
  <c r="E20" i="2" s="1"/>
  <c r="E21" i="2" a="1"/>
  <c r="E21" i="2" s="1"/>
  <c r="E22" i="2" a="1"/>
  <c r="E22" i="2"/>
  <c r="E23" i="2" a="1"/>
  <c r="E23" i="2" s="1"/>
  <c r="E24" i="2" a="1"/>
  <c r="E24" i="2" s="1"/>
  <c r="E25" i="2" a="1"/>
  <c r="E25" i="2" s="1"/>
  <c r="E26" i="2" a="1"/>
  <c r="E26" i="2"/>
  <c r="E27" i="2" a="1"/>
  <c r="E27" i="2" s="1"/>
  <c r="E28" i="2" a="1"/>
  <c r="E28" i="2" s="1"/>
  <c r="E29" i="2" a="1"/>
  <c r="E29" i="2" s="1"/>
  <c r="E30" i="2" a="1"/>
  <c r="E30" i="2"/>
  <c r="E31" i="2" a="1"/>
  <c r="E31" i="2" s="1"/>
  <c r="E32" i="2" a="1"/>
  <c r="E32" i="2" s="1"/>
  <c r="E33" i="2" a="1"/>
  <c r="E33" i="2" s="1"/>
  <c r="E34" i="2" a="1"/>
  <c r="E34" i="2"/>
  <c r="E35" i="2" a="1"/>
  <c r="E35" i="2" s="1"/>
  <c r="E36" i="2" a="1"/>
  <c r="E36" i="2" s="1"/>
  <c r="E37" i="2" a="1"/>
  <c r="E37" i="2" s="1"/>
  <c r="E38" i="2" a="1"/>
  <c r="E38" i="2"/>
  <c r="E39" i="2" a="1"/>
  <c r="E39" i="2" s="1"/>
  <c r="E40" i="2" a="1"/>
  <c r="E40" i="2" s="1"/>
  <c r="E41" i="2" a="1"/>
  <c r="E41" i="2" s="1"/>
  <c r="E42" i="2" a="1"/>
  <c r="E42" i="2"/>
  <c r="E43" i="2" a="1"/>
  <c r="E43" i="2" s="1"/>
  <c r="E44" i="2" a="1"/>
  <c r="E44" i="2" s="1"/>
  <c r="E45" i="2" a="1"/>
  <c r="E45" i="2" s="1"/>
  <c r="E46" i="2" a="1"/>
  <c r="E46" i="2"/>
  <c r="E47" i="2" a="1"/>
  <c r="E47" i="2" s="1"/>
  <c r="E48" i="2" a="1"/>
  <c r="E48" i="2" s="1"/>
  <c r="E49" i="2" a="1"/>
  <c r="E49" i="2" s="1"/>
  <c r="E50" i="2" a="1"/>
  <c r="E50" i="2"/>
  <c r="E51" i="2" a="1"/>
  <c r="E51" i="2" s="1"/>
  <c r="E52" i="2" a="1"/>
  <c r="E52" i="2" s="1"/>
  <c r="E53" i="2" a="1"/>
  <c r="E53" i="2" s="1"/>
  <c r="E54" i="2" a="1"/>
  <c r="E54" i="2"/>
  <c r="E55" i="2" a="1"/>
  <c r="E55" i="2" s="1"/>
  <c r="E56" i="2" a="1"/>
  <c r="E56" i="2" s="1"/>
  <c r="E57" i="2" a="1"/>
  <c r="E57" i="2" s="1"/>
  <c r="E58" i="2" a="1"/>
  <c r="E58" i="2"/>
  <c r="E59" i="2" a="1"/>
  <c r="E59" i="2" s="1"/>
  <c r="E60" i="2" a="1"/>
  <c r="E60" i="2" s="1"/>
  <c r="E61" i="2" a="1"/>
  <c r="E61" i="2" s="1"/>
  <c r="E62" i="2" a="1"/>
  <c r="E62" i="2" s="1"/>
  <c r="E63" i="2" a="1"/>
  <c r="E63" i="2" s="1"/>
  <c r="E64" i="2" a="1"/>
  <c r="E64" i="2" s="1"/>
  <c r="E65" i="2" a="1"/>
  <c r="E65" i="2" s="1"/>
  <c r="E66" i="2" a="1"/>
  <c r="E66" i="2"/>
  <c r="E67" i="2" a="1"/>
  <c r="E67" i="2" s="1"/>
  <c r="E68" i="2" a="1"/>
  <c r="E68" i="2" s="1"/>
  <c r="E69" i="2" a="1"/>
  <c r="E69" i="2" s="1"/>
  <c r="E70" i="2" a="1"/>
  <c r="E70" i="2"/>
  <c r="E71" i="2" a="1"/>
  <c r="E71" i="2" s="1"/>
  <c r="E72" i="2" a="1"/>
  <c r="E72" i="2" s="1"/>
  <c r="E73" i="2" a="1"/>
  <c r="E73" i="2" s="1"/>
  <c r="E74" i="2" a="1"/>
  <c r="E74" i="2"/>
  <c r="E75" i="2" a="1"/>
  <c r="E75" i="2" s="1"/>
  <c r="E76" i="2" a="1"/>
  <c r="E76" i="2" s="1"/>
  <c r="E77" i="2" a="1"/>
  <c r="E77" i="2" s="1"/>
  <c r="E78" i="2" a="1"/>
  <c r="E78" i="2" s="1"/>
  <c r="E79" i="2" a="1"/>
  <c r="E79" i="2" s="1"/>
  <c r="E80" i="2" a="1"/>
  <c r="E80" i="2" s="1"/>
  <c r="E81" i="2" a="1"/>
  <c r="E81" i="2" s="1"/>
  <c r="E82" i="2" a="1"/>
  <c r="E82" i="2"/>
  <c r="E83" i="2" a="1"/>
  <c r="E83" i="2" s="1"/>
  <c r="E84" i="2" a="1"/>
  <c r="E84" i="2" s="1"/>
  <c r="E85" i="2" a="1"/>
  <c r="E85" i="2" s="1"/>
  <c r="E86" i="2" a="1"/>
  <c r="E86" i="2" s="1"/>
  <c r="E87" i="2" a="1"/>
  <c r="E87" i="2" s="1"/>
  <c r="E88" i="2" a="1"/>
  <c r="E88" i="2" s="1"/>
  <c r="E89" i="2" a="1"/>
  <c r="E89" i="2" s="1"/>
  <c r="E90" i="2" a="1"/>
  <c r="E90" i="2"/>
  <c r="E91" i="2" a="1"/>
  <c r="E91" i="2" s="1"/>
  <c r="E92" i="2" a="1"/>
  <c r="E92" i="2" s="1"/>
  <c r="E93" i="2" a="1"/>
  <c r="E93" i="2" s="1"/>
  <c r="E94" i="2" a="1"/>
  <c r="E94" i="2"/>
  <c r="E95" i="2" a="1"/>
  <c r="E95" i="2" s="1"/>
  <c r="E96" i="2" a="1"/>
  <c r="E96" i="2" s="1"/>
  <c r="E97" i="2" a="1"/>
  <c r="E97" i="2" s="1"/>
  <c r="E98" i="2" a="1"/>
  <c r="E98" i="2"/>
  <c r="E99" i="2" a="1"/>
  <c r="E99" i="2" s="1"/>
  <c r="E100" i="2" a="1"/>
  <c r="E100" i="2" s="1"/>
  <c r="E101" i="2" a="1"/>
  <c r="E101" i="2" s="1"/>
  <c r="E102" i="2" a="1"/>
  <c r="E102" i="2"/>
  <c r="E103" i="2" a="1"/>
  <c r="E103" i="2" s="1"/>
  <c r="E104" i="2" a="1"/>
  <c r="E104" i="2" s="1"/>
  <c r="E105" i="2" a="1"/>
  <c r="E105" i="2" s="1"/>
  <c r="E106" i="2" a="1"/>
  <c r="E106" i="2"/>
  <c r="E107" i="2" a="1"/>
  <c r="E107" i="2" s="1"/>
  <c r="E108" i="2" a="1"/>
  <c r="E108" i="2" s="1"/>
  <c r="E109" i="2" a="1"/>
  <c r="E109" i="2" s="1"/>
  <c r="E110" i="2" a="1"/>
  <c r="E110" i="2"/>
  <c r="E111" i="2" a="1"/>
  <c r="E111" i="2" s="1"/>
  <c r="E112" i="2" a="1"/>
  <c r="E112" i="2" s="1"/>
  <c r="E113" i="2" a="1"/>
  <c r="E113" i="2" s="1"/>
  <c r="E114" i="2" a="1"/>
  <c r="E114" i="2"/>
  <c r="E115" i="2" a="1"/>
  <c r="E115" i="2" s="1"/>
  <c r="E116" i="2" a="1"/>
  <c r="E116" i="2" s="1"/>
  <c r="E117" i="2" a="1"/>
  <c r="E117" i="2" s="1"/>
  <c r="E118" i="2" a="1"/>
  <c r="E118" i="2"/>
  <c r="E119" i="2" a="1"/>
  <c r="E119" i="2" s="1"/>
  <c r="E120" i="2" a="1"/>
  <c r="E120" i="2" s="1"/>
  <c r="E121" i="2" a="1"/>
  <c r="E121" i="2" s="1"/>
  <c r="E122" i="2" a="1"/>
  <c r="E122" i="2"/>
  <c r="E123" i="2" a="1"/>
  <c r="E123" i="2" s="1"/>
  <c r="E124" i="2" a="1"/>
  <c r="E124" i="2" s="1"/>
  <c r="E125" i="2" a="1"/>
  <c r="E125" i="2" s="1"/>
  <c r="E126" i="2" a="1"/>
  <c r="E126" i="2"/>
  <c r="E127" i="2" a="1"/>
  <c r="E127" i="2" s="1"/>
  <c r="E128" i="2" a="1"/>
  <c r="E128" i="2" s="1"/>
  <c r="E129" i="2" a="1"/>
  <c r="E129" i="2" s="1"/>
  <c r="E130" i="2" a="1"/>
  <c r="E130" i="2"/>
  <c r="E131" i="2" a="1"/>
  <c r="E131" i="2" s="1"/>
  <c r="E132" i="2" a="1"/>
  <c r="E132" i="2" s="1"/>
  <c r="E133" i="2" a="1"/>
  <c r="E133" i="2" s="1"/>
  <c r="E134" i="2" a="1"/>
  <c r="E134" i="2"/>
  <c r="E135" i="2" a="1"/>
  <c r="E135" i="2" s="1"/>
  <c r="E136" i="2" a="1"/>
  <c r="E136" i="2" s="1"/>
  <c r="E137" i="2" a="1"/>
  <c r="E137" i="2" s="1"/>
  <c r="E138" i="2" a="1"/>
  <c r="E138" i="2"/>
  <c r="E139" i="2" a="1"/>
  <c r="E139" i="2" s="1"/>
  <c r="E140" i="2" a="1"/>
  <c r="E140" i="2" s="1"/>
  <c r="E141" i="2" a="1"/>
  <c r="E141" i="2" s="1"/>
  <c r="E142" i="2" a="1"/>
  <c r="E142" i="2"/>
  <c r="E143" i="2" a="1"/>
  <c r="E143" i="2" s="1"/>
  <c r="E144" i="2" a="1"/>
  <c r="E144" i="2" s="1"/>
  <c r="E145" i="2" a="1"/>
  <c r="E145" i="2" s="1"/>
  <c r="E146" i="2" a="1"/>
  <c r="E146" i="2"/>
  <c r="E147" i="2" a="1"/>
  <c r="E147" i="2" s="1"/>
  <c r="E148" i="2" a="1"/>
  <c r="E148" i="2" s="1"/>
  <c r="E149" i="2" a="1"/>
  <c r="E149" i="2" s="1"/>
  <c r="E150" i="2" a="1"/>
  <c r="E150" i="2"/>
  <c r="E151" i="2" a="1"/>
  <c r="E151" i="2" s="1"/>
  <c r="E152" i="2" a="1"/>
  <c r="E152" i="2" s="1"/>
  <c r="E153" i="2" a="1"/>
  <c r="E153" i="2" s="1"/>
  <c r="E154" i="2" a="1"/>
  <c r="E154" i="2"/>
  <c r="E155" i="2" a="1"/>
  <c r="E155" i="2" s="1"/>
  <c r="E156" i="2" a="1"/>
  <c r="E156" i="2" s="1"/>
  <c r="E157" i="2" a="1"/>
  <c r="E157" i="2" s="1"/>
  <c r="E158" i="2" a="1"/>
  <c r="E158" i="2"/>
  <c r="E159" i="2" a="1"/>
  <c r="E159" i="2" s="1"/>
  <c r="E160" i="2" a="1"/>
  <c r="E160" i="2" s="1"/>
  <c r="E161" i="2" a="1"/>
  <c r="E161" i="2" s="1"/>
  <c r="E162" i="2" a="1"/>
  <c r="E162" i="2"/>
  <c r="E163" i="2" a="1"/>
  <c r="E163" i="2" s="1"/>
  <c r="E164" i="2" a="1"/>
  <c r="E164" i="2" s="1"/>
  <c r="E165" i="2" a="1"/>
  <c r="E165" i="2" s="1"/>
  <c r="E166" i="2" a="1"/>
  <c r="E166" i="2"/>
  <c r="E167" i="2" a="1"/>
  <c r="E167" i="2" s="1"/>
  <c r="E168" i="2" a="1"/>
  <c r="E168" i="2" s="1"/>
  <c r="E169" i="2" a="1"/>
  <c r="E169" i="2" s="1"/>
  <c r="E170" i="2" a="1"/>
  <c r="E170" i="2"/>
  <c r="E171" i="2" a="1"/>
  <c r="E171" i="2" s="1"/>
  <c r="E172" i="2" a="1"/>
  <c r="E172" i="2" s="1"/>
  <c r="E173" i="2" a="1"/>
  <c r="E173" i="2" s="1"/>
  <c r="E174" i="2" a="1"/>
  <c r="E174" i="2" s="1"/>
  <c r="E175" i="2" a="1"/>
  <c r="E175" i="2" s="1"/>
  <c r="E176" i="2" a="1"/>
  <c r="E176" i="2" s="1"/>
  <c r="E177" i="2" a="1"/>
  <c r="E177" i="2" s="1"/>
  <c r="E178" i="2" a="1"/>
  <c r="E178" i="2" s="1"/>
  <c r="E179" i="2" a="1"/>
  <c r="E179" i="2" s="1"/>
  <c r="E180" i="2" a="1"/>
  <c r="E180" i="2" s="1"/>
  <c r="E181" i="2" a="1"/>
  <c r="E181" i="2" s="1"/>
  <c r="E182" i="2" a="1"/>
  <c r="E182" i="2" s="1"/>
  <c r="E183" i="2" a="1"/>
  <c r="E183" i="2" s="1"/>
  <c r="E184" i="2" a="1"/>
  <c r="E184" i="2" s="1"/>
  <c r="E185" i="2" a="1"/>
  <c r="E185" i="2" s="1"/>
  <c r="E186" i="2" a="1"/>
  <c r="E186" i="2" s="1"/>
  <c r="E187" i="2" a="1"/>
  <c r="E187" i="2" s="1"/>
  <c r="E188" i="2" a="1"/>
  <c r="E188" i="2" s="1"/>
  <c r="E189" i="2" a="1"/>
  <c r="E189" i="2" s="1"/>
  <c r="E190" i="2" a="1"/>
  <c r="E190" i="2" s="1"/>
  <c r="E191" i="2" a="1"/>
  <c r="E191" i="2" s="1"/>
  <c r="E192" i="2" a="1"/>
  <c r="E192" i="2" s="1"/>
  <c r="E193" i="2" a="1"/>
  <c r="E193" i="2" s="1"/>
  <c r="E194" i="2" a="1"/>
  <c r="E194" i="2" s="1"/>
  <c r="E195" i="2" a="1"/>
  <c r="E195" i="2" s="1"/>
  <c r="E196" i="2" a="1"/>
  <c r="E196" i="2" s="1"/>
  <c r="E197" i="2" a="1"/>
  <c r="E197" i="2" s="1"/>
  <c r="E198" i="2" a="1"/>
  <c r="E198" i="2" s="1"/>
  <c r="E199" i="2" a="1"/>
  <c r="E199" i="2" s="1"/>
  <c r="E200" i="2" a="1"/>
  <c r="E200" i="2" s="1"/>
  <c r="E201" i="2" a="1"/>
  <c r="E201" i="2" s="1"/>
  <c r="E2" i="2" a="1"/>
  <c r="E2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3" i="2"/>
  <c r="C4" i="2"/>
  <c r="C5" i="2"/>
  <c r="C6" i="2"/>
  <c r="C2" i="2"/>
  <c r="H13" i="1" a="1"/>
  <c r="H13" i="1" s="1"/>
  <c r="H14" i="1" a="1"/>
  <c r="H14" i="1"/>
  <c r="H15" i="1" a="1"/>
  <c r="H15" i="1" s="1"/>
  <c r="H16" i="1" a="1"/>
  <c r="H16" i="1"/>
  <c r="H17" i="1" a="1"/>
  <c r="H17" i="1" s="1"/>
  <c r="H18" i="1" a="1"/>
  <c r="H18" i="1" s="1"/>
  <c r="H19" i="1" a="1"/>
  <c r="H19" i="1" s="1"/>
  <c r="H20" i="1" a="1"/>
  <c r="H20" i="1"/>
  <c r="H21" i="1" a="1"/>
  <c r="H21" i="1" s="1"/>
  <c r="H22" i="1" a="1"/>
  <c r="H22" i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 s="1"/>
  <c r="H100" i="1" a="1"/>
  <c r="H100" i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/>
  <c r="H125" i="1" a="1"/>
  <c r="H125" i="1" s="1"/>
  <c r="H126" i="1" a="1"/>
  <c r="H126" i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132" i="1" a="1"/>
  <c r="H132" i="1"/>
  <c r="H133" i="1" a="1"/>
  <c r="H133" i="1" s="1"/>
  <c r="H134" i="1" a="1"/>
  <c r="H134" i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/>
  <c r="H141" i="1" a="1"/>
  <c r="H141" i="1" s="1"/>
  <c r="H142" i="1" a="1"/>
  <c r="H142" i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 s="1"/>
  <c r="H179" i="1" a="1"/>
  <c r="H179" i="1" s="1"/>
  <c r="H180" i="1" a="1"/>
  <c r="H180" i="1"/>
  <c r="H181" i="1" a="1"/>
  <c r="H181" i="1" s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3" i="1" a="1"/>
  <c r="H3" i="1" s="1"/>
  <c r="H4" i="1" a="1"/>
  <c r="H4" i="1"/>
  <c r="H5" i="1" a="1"/>
  <c r="H5" i="1" s="1"/>
  <c r="H6" i="1" a="1"/>
  <c r="H6" i="1"/>
  <c r="H7" i="1" a="1"/>
  <c r="H7" i="1" s="1"/>
  <c r="H8" i="1" a="1"/>
  <c r="H8" i="1"/>
  <c r="H9" i="1" a="1"/>
  <c r="H9" i="1" s="1"/>
  <c r="H10" i="1" a="1"/>
  <c r="H10" i="1"/>
  <c r="H11" i="1" a="1"/>
  <c r="H11" i="1" s="1"/>
  <c r="H12" i="1" a="1"/>
  <c r="H12" i="1"/>
  <c r="H2" i="1" a="1"/>
  <c r="H2" i="1" s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<sst xmlns="http://schemas.openxmlformats.org/spreadsheetml/2006/main" count="1820" uniqueCount="815">
  <si>
    <t>Member ID</t>
  </si>
  <si>
    <t>Join Date</t>
  </si>
  <si>
    <t>Member Name</t>
  </si>
  <si>
    <t>Age</t>
  </si>
  <si>
    <t>Gender</t>
  </si>
  <si>
    <t>Membership Type</t>
  </si>
  <si>
    <t>Monthly Fee</t>
  </si>
  <si>
    <t>Status</t>
  </si>
  <si>
    <t>City</t>
  </si>
  <si>
    <t>Attendance ID</t>
  </si>
  <si>
    <t>Date</t>
  </si>
  <si>
    <t>Check-in Time</t>
  </si>
  <si>
    <t>Workout Type</t>
  </si>
  <si>
    <t>Duration (Minutes)</t>
  </si>
  <si>
    <t>Payment ID</t>
  </si>
  <si>
    <t>Payment Date</t>
  </si>
  <si>
    <t>Amount</t>
  </si>
  <si>
    <t>Payment Method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</si>
  <si>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</si>
  <si>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</si>
  <si>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</si>
  <si>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</si>
  <si>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</si>
  <si>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</si>
  <si>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</si>
  <si>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</si>
  <si>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</si>
  <si>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</si>
  <si>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</si>
  <si>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</si>
  <si>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</si>
  <si>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</si>
  <si>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</si>
  <si>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</si>
  <si>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</si>
  <si>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</si>
  <si>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</si>
  <si>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</si>
  <si>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</si>
  <si>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</si>
  <si>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</si>
  <si>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</si>
  <si>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</si>
  <si>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</si>
  <si>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</si>
  <si>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</si>
  <si>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</si>
  <si>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</si>
  <si>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</si>
  <si>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</si>
  <si>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</si>
  <si>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</si>
  <si>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</si>
  <si>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</si>
  <si>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</si>
  <si>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</si>
  <si>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</si>
  <si>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</si>
  <si>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</si>
  <si>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</si>
  <si>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</si>
  <si>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</si>
  <si>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</si>
  <si>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</si>
  <si>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</si>
  <si>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</si>
  <si>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</si>
  <si>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</si>
  <si>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</si>
  <si>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</si>
  <si>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</si>
  <si>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</si>
  <si>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</si>
  <si>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</si>
  <si>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</si>
  <si>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</si>
  <si>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</si>
  <si>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</si>
  <si>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</si>
  <si>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</si>
  <si>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</si>
  <si>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</si>
  <si>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</si>
  <si>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</si>
  <si>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</si>
  <si>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</si>
  <si>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</si>
  <si>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</si>
  <si>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</si>
  <si>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</si>
  <si>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</si>
  <si>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</si>
  <si>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</si>
  <si>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</si>
  <si>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</si>
  <si>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</si>
  <si>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</si>
  <si>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</si>
  <si>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</si>
  <si>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</si>
  <si>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</si>
  <si>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</si>
  <si>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</si>
  <si>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</si>
  <si>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</si>
  <si>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</si>
  <si>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</si>
  <si>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</si>
  <si>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</si>
  <si>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</si>
  <si>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</si>
  <si>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</si>
  <si>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</si>
  <si>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</si>
  <si>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</si>
  <si>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</si>
  <si>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</si>
  <si>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</si>
  <si>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</si>
  <si>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</si>
  <si>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</si>
  <si>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</si>
  <si>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</si>
  <si>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</si>
  <si>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</si>
  <si>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</si>
  <si>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</si>
  <si>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</si>
  <si>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</si>
  <si>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</si>
  <si>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</si>
  <si>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</si>
  <si>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</si>
  <si>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</si>
  <si>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</si>
  <si>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</si>
  <si>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</si>
  <si>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</si>
  <si>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</si>
  <si>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</si>
  <si>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</si>
  <si>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</si>
  <si>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</si>
  <si>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</si>
  <si>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</si>
  <si>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</si>
  <si>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</si>
  <si>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</si>
  <si>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</si>
  <si>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</si>
  <si>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</si>
  <si>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</si>
  <si>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</si>
  <si>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</si>
  <si>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</si>
  <si>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</si>
  <si>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</si>
  <si>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</si>
  <si>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</si>
  <si>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</si>
  <si>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</si>
  <si>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</si>
  <si>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</si>
  <si>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</si>
  <si>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</si>
  <si>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</si>
  <si>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</si>
  <si>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</si>
  <si>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</si>
  <si>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</si>
  <si>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</si>
  <si>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</si>
  <si>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</si>
  <si>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</si>
  <si>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</si>
  <si>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</si>
  <si>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</si>
  <si>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</si>
  <si>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</si>
  <si>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</si>
  <si>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</si>
  <si>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</si>
  <si>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</si>
  <si>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</si>
  <si>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</si>
  <si>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</si>
  <si>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</si>
  <si>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</si>
  <si>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</si>
  <si>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</si>
  <si>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</si>
  <si>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</si>
  <si>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</si>
  <si>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</si>
  <si>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</si>
  <si>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</si>
  <si>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</si>
  <si>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</si>
  <si>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</si>
  <si>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</si>
  <si>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</si>
  <si>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</si>
  <si>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</si>
  <si>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</si>
  <si>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</si>
  <si>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</si>
  <si>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</si>
  <si>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</si>
  <si>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</si>
  <si>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</si>
  <si>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</si>
  <si>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</si>
  <si>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</si>
  <si>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</si>
  <si>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</si>
  <si>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</si>
  <si>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</si>
  <si>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</si>
  <si>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Karen Young</t>
  </si>
  <si>
    <t>Mary Lee</t>
  </si>
  <si>
    <t>Ryan Harris</t>
  </si>
  <si>
    <t>John Scott</t>
  </si>
  <si>
    <t>Gary Hill</t>
  </si>
  <si>
    <t>Kevin Moore</t>
  </si>
  <si>
    <t>Jason Taylor</t>
  </si>
  <si>
    <t>Mark Wright</t>
  </si>
  <si>
    <t>William Torres</t>
  </si>
  <si>
    <t>Karen Lopez</t>
  </si>
  <si>
    <t>Joshua Jackson</t>
  </si>
  <si>
    <t>Ashley Allen</t>
  </si>
  <si>
    <t>Thomas Miller</t>
  </si>
  <si>
    <t>Dorothy Taylor</t>
  </si>
  <si>
    <t>Andrew Wright</t>
  </si>
  <si>
    <t>Mary Lewis</t>
  </si>
  <si>
    <t>Christopher Nguyen</t>
  </si>
  <si>
    <t>Ryan Moore</t>
  </si>
  <si>
    <t>Nancy Lee</t>
  </si>
  <si>
    <t>Brian Williams</t>
  </si>
  <si>
    <t>Margaret Robinson</t>
  </si>
  <si>
    <t>David Garcia</t>
  </si>
  <si>
    <t>Jeff Davis</t>
  </si>
  <si>
    <t>Anthony Moore</t>
  </si>
  <si>
    <t>Emily White</t>
  </si>
  <si>
    <t>Joseph Wilson</t>
  </si>
  <si>
    <t>Ashley Thomas</t>
  </si>
  <si>
    <t>Kimberly Martinez</t>
  </si>
  <si>
    <t>Emily Robinson</t>
  </si>
  <si>
    <t>Jennifer Taylor</t>
  </si>
  <si>
    <t>David Robinson</t>
  </si>
  <si>
    <t>Patricia Lewis</t>
  </si>
  <si>
    <t>Lisa Flores</t>
  </si>
  <si>
    <t>Daniel Perez</t>
  </si>
  <si>
    <t>Lisa Young</t>
  </si>
  <si>
    <t>Susan King</t>
  </si>
  <si>
    <t>Richard Brown</t>
  </si>
  <si>
    <t>Kimberly Rodriguez</t>
  </si>
  <si>
    <t>Mark Ramirez</t>
  </si>
  <si>
    <t>Christopher Lopez</t>
  </si>
  <si>
    <t>Sandra Allen</t>
  </si>
  <si>
    <t>Sarah King</t>
  </si>
  <si>
    <t>Emily Sanchez</t>
  </si>
  <si>
    <t>Ashley Lewis</t>
  </si>
  <si>
    <t>Anthony Scott</t>
  </si>
  <si>
    <t>James Moore</t>
  </si>
  <si>
    <t>James Anderson</t>
  </si>
  <si>
    <t>Mark Clark</t>
  </si>
  <si>
    <t>Michael Thompson</t>
  </si>
  <si>
    <t>Larry Garcia</t>
  </si>
  <si>
    <t>Elizabeth Brown</t>
  </si>
  <si>
    <t>Anthony Williams</t>
  </si>
  <si>
    <t>Anthony Brown</t>
  </si>
  <si>
    <t>Gary Taylor</t>
  </si>
  <si>
    <t>Michael Robinson</t>
  </si>
  <si>
    <t>Jessica Gonzalez</t>
  </si>
  <si>
    <t>Susan Robinson</t>
  </si>
  <si>
    <t>Larry Williams</t>
  </si>
  <si>
    <t>Elizabeth White</t>
  </si>
  <si>
    <t>Mary Young</t>
  </si>
  <si>
    <t>Larry King</t>
  </si>
  <si>
    <t>James Williams</t>
  </si>
  <si>
    <t>Joshua Thomas</t>
  </si>
  <si>
    <t>Jeff White</t>
  </si>
  <si>
    <t>Frank Young</t>
  </si>
  <si>
    <t>Christopher White</t>
  </si>
  <si>
    <t>Jeff Thompson</t>
  </si>
  <si>
    <t>Jose Allen</t>
  </si>
  <si>
    <t>Dorothy Smith</t>
  </si>
  <si>
    <t>Patricia Nguyen</t>
  </si>
  <si>
    <t>Donna Thompson</t>
  </si>
  <si>
    <t>Sandra Scott</t>
  </si>
  <si>
    <t>Jeff Taylor</t>
  </si>
  <si>
    <t>Emily Garcia</t>
  </si>
  <si>
    <t>Donald Walker</t>
  </si>
  <si>
    <t>Joseph Williams</t>
  </si>
  <si>
    <t>Susan Martinez</t>
  </si>
  <si>
    <t>Richard Thompson</t>
  </si>
  <si>
    <t>Donna Lee</t>
  </si>
  <si>
    <t>Michael Thomas</t>
  </si>
  <si>
    <t>Donald Torres</t>
  </si>
  <si>
    <t>Jennifer Scott</t>
  </si>
  <si>
    <t>Joseph Brown</t>
  </si>
  <si>
    <t>Linda Miller</t>
  </si>
  <si>
    <t>Richard Johnson</t>
  </si>
  <si>
    <t>David Thomas</t>
  </si>
  <si>
    <t>Emily Wright</t>
  </si>
  <si>
    <t>Ashley Lee</t>
  </si>
  <si>
    <t>Barbara Allen</t>
  </si>
  <si>
    <t>Jennifer Clark</t>
  </si>
  <si>
    <t>Emily Ramirez</t>
  </si>
  <si>
    <t>Paul Davis</t>
  </si>
  <si>
    <t>Christopher Robinson</t>
  </si>
  <si>
    <t>Jessica Hernandez</t>
  </si>
  <si>
    <t>Donald Allen</t>
  </si>
  <si>
    <t>James Nguyen</t>
  </si>
  <si>
    <t>Paul Hernandez</t>
  </si>
  <si>
    <t>Sarah Walker</t>
  </si>
  <si>
    <t>Thomas Gonzalez</t>
  </si>
  <si>
    <t>Dorothy Allen</t>
  </si>
  <si>
    <t>Joseph Harris</t>
  </si>
  <si>
    <t>Sandra Wilson</t>
  </si>
  <si>
    <t>Sandra Brown</t>
  </si>
  <si>
    <t>Betty Anderson</t>
  </si>
  <si>
    <t>Mark Torres</t>
  </si>
  <si>
    <t>David Harris</t>
  </si>
  <si>
    <t>Thomas Lopez</t>
  </si>
  <si>
    <t>Frank Scott</t>
  </si>
  <si>
    <t>Jose Moore</t>
  </si>
  <si>
    <t>Thomas Martinez</t>
  </si>
  <si>
    <t>Charles Garcia</t>
  </si>
  <si>
    <t>Ashley Rodriguez</t>
  </si>
  <si>
    <t>Steven Nguyen</t>
  </si>
  <si>
    <t>Karen Moore</t>
  </si>
  <si>
    <t>James Sanchez</t>
  </si>
  <si>
    <t>Jeff Hill</t>
  </si>
  <si>
    <t>Lisa Taylor</t>
  </si>
  <si>
    <t>Joseph Wright</t>
  </si>
  <si>
    <t>Dorothy Nguyen</t>
  </si>
  <si>
    <t>Larry Robinson</t>
  </si>
  <si>
    <t>Andrew Clark</t>
  </si>
  <si>
    <t>Mary Harris</t>
  </si>
  <si>
    <t>Donna King</t>
  </si>
  <si>
    <t>Steven Wilson</t>
  </si>
  <si>
    <t>Mark Brown</t>
  </si>
  <si>
    <t>Anthony Perez</t>
  </si>
  <si>
    <t>Emily Anderson</t>
  </si>
  <si>
    <t>Karen Wright</t>
  </si>
  <si>
    <t>Jennifer Young</t>
  </si>
  <si>
    <t>Joseph White</t>
  </si>
  <si>
    <t>Elizabeth Clark</t>
  </si>
  <si>
    <t>Anthony Davis</t>
  </si>
  <si>
    <t>Jennifer Wilson</t>
  </si>
  <si>
    <t>Donna Robinson</t>
  </si>
  <si>
    <t>Frank Miller</t>
  </si>
  <si>
    <t>Joshua Flores</t>
  </si>
  <si>
    <t>Daniel Young</t>
  </si>
  <si>
    <t>Mary Clark</t>
  </si>
  <si>
    <t>Larry Gonzalez</t>
  </si>
  <si>
    <t>James Gonzalez</t>
  </si>
  <si>
    <t>Emily Gonzalez</t>
  </si>
  <si>
    <t>Betty Martinez</t>
  </si>
  <si>
    <t>Timothy Allen</t>
  </si>
  <si>
    <t>Michael Miller</t>
  </si>
  <si>
    <t>Larry Thompson</t>
  </si>
  <si>
    <t>Lisa Williams</t>
  </si>
  <si>
    <t>Karen Miller</t>
  </si>
  <si>
    <t>William Young</t>
  </si>
  <si>
    <t>Joseph Lopez</t>
  </si>
  <si>
    <t>Karen Anderson</t>
  </si>
  <si>
    <t>Ashley Johnson</t>
  </si>
  <si>
    <t>Robert Taylor</t>
  </si>
  <si>
    <t>Sarah Scott</t>
  </si>
  <si>
    <t>Sarah Davis</t>
  </si>
  <si>
    <t>Elizabeth Lee</t>
  </si>
  <si>
    <t>John Davis</t>
  </si>
  <si>
    <t>Lisa Perez</t>
  </si>
  <si>
    <t>Matthew Lewis</t>
  </si>
  <si>
    <t>Sandra Hill</t>
  </si>
  <si>
    <t>Christopher Wright</t>
  </si>
  <si>
    <t>John Miller</t>
  </si>
  <si>
    <t>Ryan Sanchez</t>
  </si>
  <si>
    <t>Linda Anderson</t>
  </si>
  <si>
    <t>Frank Thompson</t>
  </si>
  <si>
    <t>Jessica Miller</t>
  </si>
  <si>
    <t>Larry Lewis</t>
  </si>
  <si>
    <t>Jason Lee</t>
  </si>
  <si>
    <t>Linda Flores</t>
  </si>
  <si>
    <t>Kevin Johnson</t>
  </si>
  <si>
    <t>William Williams</t>
  </si>
  <si>
    <t>Kimberly Davis</t>
  </si>
  <si>
    <t>Steven Flores</t>
  </si>
  <si>
    <t>Jessica Jones</t>
  </si>
  <si>
    <t>Jeff Walker</t>
  </si>
  <si>
    <t>Patricia Taylor</t>
  </si>
  <si>
    <t>Ryan Anderson</t>
  </si>
  <si>
    <t>David Flores</t>
  </si>
  <si>
    <t>Christopher Johnson</t>
  </si>
  <si>
    <t>Christopher Lee</t>
  </si>
  <si>
    <t>Matthew Harris</t>
  </si>
  <si>
    <t>Jason Martinez</t>
  </si>
  <si>
    <t>John Taylor</t>
  </si>
  <si>
    <t>Joseph Anderson</t>
  </si>
  <si>
    <t>James Miller</t>
  </si>
  <si>
    <t>Jason Hernandez</t>
  </si>
  <si>
    <t>Barbara Young</t>
  </si>
  <si>
    <t>Daniel Garcia</t>
  </si>
  <si>
    <t>Timothy Thomas</t>
  </si>
  <si>
    <t>Dorothy Lopez</t>
  </si>
  <si>
    <t>Barbara Jones</t>
  </si>
  <si>
    <t>Donald Anderson</t>
  </si>
  <si>
    <t>Female</t>
  </si>
  <si>
    <t>Male</t>
  </si>
  <si>
    <t>$40</t>
  </si>
  <si>
    <t>$80</t>
  </si>
  <si>
    <t>$60</t>
  </si>
  <si>
    <t>San Antonio</t>
  </si>
  <si>
    <t>GYM-20251224-001</t>
  </si>
  <si>
    <t>GYM-20251224-002</t>
  </si>
  <si>
    <t>GYM-20251224-003</t>
  </si>
  <si>
    <t>GYM-20251224-004</t>
  </si>
  <si>
    <t>GYM-20251224-005</t>
  </si>
  <si>
    <t>GYM-20251224-006</t>
  </si>
  <si>
    <t>GYM-20251224-007</t>
  </si>
  <si>
    <t>GYM-20251224-008</t>
  </si>
  <si>
    <t>GYM-20251224-009</t>
  </si>
  <si>
    <t>GYM-20251224-010</t>
  </si>
  <si>
    <t>GYM-20251224-011</t>
  </si>
  <si>
    <t>GYM-20251224-012</t>
  </si>
  <si>
    <t>GYM-20251224-013</t>
  </si>
  <si>
    <t>GYM-20251224-014</t>
  </si>
  <si>
    <t>GYM-20251224-015</t>
  </si>
  <si>
    <t>GYM-20251224-016</t>
  </si>
  <si>
    <t>GYM-20251224-017</t>
  </si>
  <si>
    <t>GYM-20251224-018</t>
  </si>
  <si>
    <t>GYM-20251224-019</t>
  </si>
  <si>
    <t>GYM-20251224-020</t>
  </si>
  <si>
    <t>GYM-20251224-021</t>
  </si>
  <si>
    <t>GYM-20251224-022</t>
  </si>
  <si>
    <t>GYM-20251224-023</t>
  </si>
  <si>
    <t>GYM-20251224-024</t>
  </si>
  <si>
    <t>GYM-20251224-025</t>
  </si>
  <si>
    <t>GYM-20251224-026</t>
  </si>
  <si>
    <t>GYM-20251224-027</t>
  </si>
  <si>
    <t>GYM-20251224-028</t>
  </si>
  <si>
    <t>GYM-20251224-029</t>
  </si>
  <si>
    <t>GYM-20251224-030</t>
  </si>
  <si>
    <t>GYM-20251224-031</t>
  </si>
  <si>
    <t>GYM-20251224-032</t>
  </si>
  <si>
    <t>GYM-20251224-033</t>
  </si>
  <si>
    <t>GYM-20251224-034</t>
  </si>
  <si>
    <t>GYM-20251224-035</t>
  </si>
  <si>
    <t>GYM-20251224-036</t>
  </si>
  <si>
    <t>GYM-20251224-037</t>
  </si>
  <si>
    <t>GYM-20251224-038</t>
  </si>
  <si>
    <t>GYM-20251224-039</t>
  </si>
  <si>
    <t>GYM-20251224-040</t>
  </si>
  <si>
    <t>GYM-20251224-041</t>
  </si>
  <si>
    <t>GYM-20251224-042</t>
  </si>
  <si>
    <t>GYM-20251224-043</t>
  </si>
  <si>
    <t>GYM-20251224-044</t>
  </si>
  <si>
    <t>GYM-20251224-045</t>
  </si>
  <si>
    <t>GYM-20251224-046</t>
  </si>
  <si>
    <t>GYM-20251224-047</t>
  </si>
  <si>
    <t>GYM-20251224-048</t>
  </si>
  <si>
    <t>GYM-20251224-049</t>
  </si>
  <si>
    <t>GYM-20251224-050</t>
  </si>
  <si>
    <t>GYM-20251224-051</t>
  </si>
  <si>
    <t>GYM-20251224-052</t>
  </si>
  <si>
    <t>GYM-20251224-053</t>
  </si>
  <si>
    <t>GYM-20251224-054</t>
  </si>
  <si>
    <t>GYM-20251224-055</t>
  </si>
  <si>
    <t>GYM-20251224-056</t>
  </si>
  <si>
    <t>GYM-20251224-057</t>
  </si>
  <si>
    <t>GYM-20251224-058</t>
  </si>
  <si>
    <t>GYM-20251224-059</t>
  </si>
  <si>
    <t>GYM-20251224-060</t>
  </si>
  <si>
    <t>GYM-20251224-061</t>
  </si>
  <si>
    <t>GYM-20251224-062</t>
  </si>
  <si>
    <t>GYM-20251224-063</t>
  </si>
  <si>
    <t>GYM-20251224-064</t>
  </si>
  <si>
    <t>GYM-20251224-065</t>
  </si>
  <si>
    <t>GYM-20251224-066</t>
  </si>
  <si>
    <t>GYM-20251224-067</t>
  </si>
  <si>
    <t>GYM-20251224-068</t>
  </si>
  <si>
    <t>GYM-20251224-069</t>
  </si>
  <si>
    <t>GYM-20251224-070</t>
  </si>
  <si>
    <t>GYM-20251224-071</t>
  </si>
  <si>
    <t>GYM-20251224-072</t>
  </si>
  <si>
    <t>GYM-20251224-073</t>
  </si>
  <si>
    <t>GYM-20251224-074</t>
  </si>
  <si>
    <t>GYM-20251224-075</t>
  </si>
  <si>
    <t>GYM-20251224-076</t>
  </si>
  <si>
    <t>GYM-20251224-077</t>
  </si>
  <si>
    <t>GYM-20251224-078</t>
  </si>
  <si>
    <t>GYM-20251224-079</t>
  </si>
  <si>
    <t>GYM-20251224-080</t>
  </si>
  <si>
    <t>GYM-20251224-081</t>
  </si>
  <si>
    <t>GYM-20251224-082</t>
  </si>
  <si>
    <t>GYM-20251224-083</t>
  </si>
  <si>
    <t>GYM-20251224-084</t>
  </si>
  <si>
    <t>GYM-20251224-085</t>
  </si>
  <si>
    <t>GYM-20251224-086</t>
  </si>
  <si>
    <t>GYM-20251224-087</t>
  </si>
  <si>
    <t>GYM-20251224-088</t>
  </si>
  <si>
    <t>GYM-20251224-089</t>
  </si>
  <si>
    <t>GYM-20251224-090</t>
  </si>
  <si>
    <t>GYM-20251224-091</t>
  </si>
  <si>
    <t>GYM-20251224-092</t>
  </si>
  <si>
    <t>GYM-20251224-093</t>
  </si>
  <si>
    <t>GYM-20251224-094</t>
  </si>
  <si>
    <t>GYM-20251224-095</t>
  </si>
  <si>
    <t>GYM-20251224-096</t>
  </si>
  <si>
    <t>GYM-20251224-097</t>
  </si>
  <si>
    <t>GYM-20251224-098</t>
  </si>
  <si>
    <t>GYM-20251224-099</t>
  </si>
  <si>
    <t>GYM-20251224-100</t>
  </si>
  <si>
    <t>GYM-20251224-101</t>
  </si>
  <si>
    <t>GYM-20251224-102</t>
  </si>
  <si>
    <t>GYM-20251224-103</t>
  </si>
  <si>
    <t>GYM-20251224-104</t>
  </si>
  <si>
    <t>GYM-20251224-105</t>
  </si>
  <si>
    <t>GYM-20251224-106</t>
  </si>
  <si>
    <t>GYM-20251224-107</t>
  </si>
  <si>
    <t>GYM-20251224-108</t>
  </si>
  <si>
    <t>GYM-20251224-109</t>
  </si>
  <si>
    <t>GYM-20251224-110</t>
  </si>
  <si>
    <t>GYM-20251224-111</t>
  </si>
  <si>
    <t>GYM-20251224-112</t>
  </si>
  <si>
    <t>GYM-20251224-113</t>
  </si>
  <si>
    <t>GYM-20251224-114</t>
  </si>
  <si>
    <t>GYM-20251224-115</t>
  </si>
  <si>
    <t>GYM-20251224-116</t>
  </si>
  <si>
    <t>GYM-20251224-117</t>
  </si>
  <si>
    <t>GYM-20251224-118</t>
  </si>
  <si>
    <t>GYM-20251224-119</t>
  </si>
  <si>
    <t>GYM-20251224-120</t>
  </si>
  <si>
    <t>GYM-20251224-121</t>
  </si>
  <si>
    <t>GYM-20251224-122</t>
  </si>
  <si>
    <t>GYM-20251224-123</t>
  </si>
  <si>
    <t>GYM-20251224-124</t>
  </si>
  <si>
    <t>GYM-20251224-125</t>
  </si>
  <si>
    <t>GYM-20251224-126</t>
  </si>
  <si>
    <t>GYM-20251224-127</t>
  </si>
  <si>
    <t>GYM-20251224-128</t>
  </si>
  <si>
    <t>GYM-20251224-129</t>
  </si>
  <si>
    <t>GYM-20251224-130</t>
  </si>
  <si>
    <t>GYM-20251224-131</t>
  </si>
  <si>
    <t>GYM-20251224-132</t>
  </si>
  <si>
    <t>GYM-20251224-133</t>
  </si>
  <si>
    <t>GYM-20251224-134</t>
  </si>
  <si>
    <t>GYM-20251224-135</t>
  </si>
  <si>
    <t>GYM-20251224-136</t>
  </si>
  <si>
    <t>GYM-20251224-137</t>
  </si>
  <si>
    <t>GYM-20251224-138</t>
  </si>
  <si>
    <t>GYM-20251224-139</t>
  </si>
  <si>
    <t>GYM-20251224-140</t>
  </si>
  <si>
    <t>GYM-20251224-141</t>
  </si>
  <si>
    <t>GYM-20251224-142</t>
  </si>
  <si>
    <t>GYM-20251224-143</t>
  </si>
  <si>
    <t>GYM-20251224-144</t>
  </si>
  <si>
    <t>GYM-20251224-145</t>
  </si>
  <si>
    <t>GYM-20251224-146</t>
  </si>
  <si>
    <t>GYM-20251224-147</t>
  </si>
  <si>
    <t>GYM-20251224-148</t>
  </si>
  <si>
    <t>GYM-20251224-149</t>
  </si>
  <si>
    <t>GYM-20251224-150</t>
  </si>
  <si>
    <t>GYM-20251224-151</t>
  </si>
  <si>
    <t>GYM-20251224-152</t>
  </si>
  <si>
    <t>GYM-20251224-153</t>
  </si>
  <si>
    <t>GYM-20251224-154</t>
  </si>
  <si>
    <t>GYM-20251224-155</t>
  </si>
  <si>
    <t>GYM-20251224-156</t>
  </si>
  <si>
    <t>GYM-20251224-157</t>
  </si>
  <si>
    <t>GYM-20251224-158</t>
  </si>
  <si>
    <t>GYM-20251224-159</t>
  </si>
  <si>
    <t>GYM-20251224-160</t>
  </si>
  <si>
    <t>GYM-20251224-161</t>
  </si>
  <si>
    <t>GYM-20251224-162</t>
  </si>
  <si>
    <t>GYM-20251224-163</t>
  </si>
  <si>
    <t>GYM-20251224-164</t>
  </si>
  <si>
    <t>GYM-20251224-165</t>
  </si>
  <si>
    <t>GYM-20251224-166</t>
  </si>
  <si>
    <t>GYM-20251224-167</t>
  </si>
  <si>
    <t>GYM-20251224-168</t>
  </si>
  <si>
    <t>GYM-20251224-169</t>
  </si>
  <si>
    <t>GYM-20251224-170</t>
  </si>
  <si>
    <t>GYM-20251224-171</t>
  </si>
  <si>
    <t>GYM-20251224-172</t>
  </si>
  <si>
    <t>GYM-20251224-173</t>
  </si>
  <si>
    <t>GYM-20251224-174</t>
  </si>
  <si>
    <t>GYM-20251224-175</t>
  </si>
  <si>
    <t>GYM-20251224-176</t>
  </si>
  <si>
    <t>GYM-20251224-177</t>
  </si>
  <si>
    <t>GYM-20251224-178</t>
  </si>
  <si>
    <t>GYM-20251224-179</t>
  </si>
  <si>
    <t>GYM-20251224-180</t>
  </si>
  <si>
    <t>GYM-20251224-181</t>
  </si>
  <si>
    <t>GYM-20251224-182</t>
  </si>
  <si>
    <t>GYM-20251224-183</t>
  </si>
  <si>
    <t>GYM-20251224-184</t>
  </si>
  <si>
    <t>GYM-20251224-185</t>
  </si>
  <si>
    <t>GYM-20251224-186</t>
  </si>
  <si>
    <t>GYM-20251224-187</t>
  </si>
  <si>
    <t>GYM-20251224-188</t>
  </si>
  <si>
    <t>GYM-20251224-189</t>
  </si>
  <si>
    <t>GYM-20251224-190</t>
  </si>
  <si>
    <t>GYM-20251224-191</t>
  </si>
  <si>
    <t>GYM-20251224-192</t>
  </si>
  <si>
    <t>GYM-20251224-193</t>
  </si>
  <si>
    <t>GYM-20251224-194</t>
  </si>
  <si>
    <t>GYM-20251224-195</t>
  </si>
  <si>
    <t>GYM-20251224-196</t>
  </si>
  <si>
    <t>GYM-20251224-197</t>
  </si>
  <si>
    <t>GYM-20251224-198</t>
  </si>
  <si>
    <t>GYM-20251224-199</t>
  </si>
  <si>
    <t>GYM-20251224-200</t>
  </si>
  <si>
    <t>PAY-M001-20251224-001</t>
  </si>
  <si>
    <t>PAY-M001-20251224-002</t>
  </si>
  <si>
    <t>PAY-M001-20251224-003</t>
  </si>
  <si>
    <t>PAY-M001-20251224-004</t>
  </si>
  <si>
    <t>PAY-M001-20251224-005</t>
  </si>
  <si>
    <t>PAY-M001-20251224-006</t>
  </si>
  <si>
    <t>PAY-M001-20251224-007</t>
  </si>
  <si>
    <t>PAY-M001-20251224-008</t>
  </si>
  <si>
    <t>PAY-M001-20251224-009</t>
  </si>
  <si>
    <t>PAY-M001-20251224-010</t>
  </si>
  <si>
    <t>PAY-M001-20251224-011</t>
  </si>
  <si>
    <t>PAY-M001-20251224-012</t>
  </si>
  <si>
    <t>PAY-M001-20251224-013</t>
  </si>
  <si>
    <t>PAY-M001-20251224-014</t>
  </si>
  <si>
    <t>PAY-M001-20251224-015</t>
  </si>
  <si>
    <t>PAY-M001-20251224-016</t>
  </si>
  <si>
    <t>PAY-M001-20251224-017</t>
  </si>
  <si>
    <t>PAY-M001-20251224-018</t>
  </si>
  <si>
    <t>PAY-M001-20251224-019</t>
  </si>
  <si>
    <t>PAY-M001-20251224-020</t>
  </si>
  <si>
    <t>PAY-M001-20251224-021</t>
  </si>
  <si>
    <t>PAY-M001-20251224-022</t>
  </si>
  <si>
    <t>PAY-M001-20251224-023</t>
  </si>
  <si>
    <t>PAY-M001-20251224-024</t>
  </si>
  <si>
    <t>PAY-M001-20251224-025</t>
  </si>
  <si>
    <t>PAY-M001-20251224-026</t>
  </si>
  <si>
    <t>PAY-M001-20251224-027</t>
  </si>
  <si>
    <t>PAY-M001-20251224-028</t>
  </si>
  <si>
    <t>PAY-M001-20251224-029</t>
  </si>
  <si>
    <t>PAY-M001-20251224-030</t>
  </si>
  <si>
    <t>PAY-M001-20251224-031</t>
  </si>
  <si>
    <t>PAY-M001-20251224-032</t>
  </si>
  <si>
    <t>PAY-M001-20251224-033</t>
  </si>
  <si>
    <t>PAY-M001-20251224-034</t>
  </si>
  <si>
    <t>PAY-M001-20251224-035</t>
  </si>
  <si>
    <t>PAY-M001-20251224-036</t>
  </si>
  <si>
    <t>PAY-M001-20251224-037</t>
  </si>
  <si>
    <t>PAY-M001-20251224-038</t>
  </si>
  <si>
    <t>PAY-M001-20251224-039</t>
  </si>
  <si>
    <t>PAY-M001-20251224-040</t>
  </si>
  <si>
    <t>PAY-M001-20251224-041</t>
  </si>
  <si>
    <t>PAY-M001-20251224-042</t>
  </si>
  <si>
    <t>PAY-M001-20251224-043</t>
  </si>
  <si>
    <t>PAY-M001-20251224-044</t>
  </si>
  <si>
    <t>PAY-M001-20251224-045</t>
  </si>
  <si>
    <t>PAY-M001-20251224-046</t>
  </si>
  <si>
    <t>PAY-M001-20251224-047</t>
  </si>
  <si>
    <t>PAY-M001-20251224-048</t>
  </si>
  <si>
    <t>PAY-M001-20251224-049</t>
  </si>
  <si>
    <t>PAY-M001-20251224-050</t>
  </si>
  <si>
    <t>PAY-M001-20251224-051</t>
  </si>
  <si>
    <t>PAY-M001-20251224-052</t>
  </si>
  <si>
    <t>PAY-M001-20251224-053</t>
  </si>
  <si>
    <t>PAY-M001-20251224-054</t>
  </si>
  <si>
    <t>PAY-M001-20251224-055</t>
  </si>
  <si>
    <t>PAY-M001-20251224-056</t>
  </si>
  <si>
    <t>PAY-M001-20251224-057</t>
  </si>
  <si>
    <t>PAY-M001-20251224-058</t>
  </si>
  <si>
    <t>PAY-M001-20251224-059</t>
  </si>
  <si>
    <t>PAY-M001-20251224-060</t>
  </si>
  <si>
    <t>PAY-M001-20251224-061</t>
  </si>
  <si>
    <t>PAY-M001-20251224-062</t>
  </si>
  <si>
    <t>PAY-M001-20251224-063</t>
  </si>
  <si>
    <t>PAY-M001-20251224-064</t>
  </si>
  <si>
    <t>PAY-M001-20251224-065</t>
  </si>
  <si>
    <t>PAY-M001-20251224-066</t>
  </si>
  <si>
    <t>PAY-M001-20251224-067</t>
  </si>
  <si>
    <t>PAY-M001-20251224-068</t>
  </si>
  <si>
    <t>PAY-M001-20251224-069</t>
  </si>
  <si>
    <t>PAY-M001-20251224-070</t>
  </si>
  <si>
    <t>PAY-M001-20251224-071</t>
  </si>
  <si>
    <t>PAY-M001-20251224-072</t>
  </si>
  <si>
    <t>PAY-M001-20251224-073</t>
  </si>
  <si>
    <t>PAY-M001-20251224-074</t>
  </si>
  <si>
    <t>PAY-M001-20251224-075</t>
  </si>
  <si>
    <t>PAY-M001-20251224-076</t>
  </si>
  <si>
    <t>PAY-M001-20251224-077</t>
  </si>
  <si>
    <t>PAY-M001-20251224-078</t>
  </si>
  <si>
    <t>PAY-M001-20251224-079</t>
  </si>
  <si>
    <t>PAY-M001-20251224-080</t>
  </si>
  <si>
    <t>PAY-M001-20251224-081</t>
  </si>
  <si>
    <t>PAY-M001-20251224-082</t>
  </si>
  <si>
    <t>PAY-M001-20251224-083</t>
  </si>
  <si>
    <t>PAY-M001-20251224-084</t>
  </si>
  <si>
    <t>PAY-M001-20251224-085</t>
  </si>
  <si>
    <t>PAY-M001-20251224-086</t>
  </si>
  <si>
    <t>PAY-M001-20251224-087</t>
  </si>
  <si>
    <t>PAY-M001-20251224-088</t>
  </si>
  <si>
    <t>PAY-M001-20251224-089</t>
  </si>
  <si>
    <t>PAY-M001-20251224-090</t>
  </si>
  <si>
    <t>PAY-M001-20251224-091</t>
  </si>
  <si>
    <t>PAY-M001-20251224-092</t>
  </si>
  <si>
    <t>PAY-M001-20251224-093</t>
  </si>
  <si>
    <t>PAY-M001-20251224-094</t>
  </si>
  <si>
    <t>PAY-M001-20251224-095</t>
  </si>
  <si>
    <t>PAY-M001-20251224-096</t>
  </si>
  <si>
    <t>PAY-M001-20251224-097</t>
  </si>
  <si>
    <t>PAY-M001-20251224-098</t>
  </si>
  <si>
    <t>PAY-M001-20251224-099</t>
  </si>
  <si>
    <t>PAY-M001-20251224-100</t>
  </si>
  <si>
    <t>PAY-M001-20251224-101</t>
  </si>
  <si>
    <t>PAY-M001-20251224-102</t>
  </si>
  <si>
    <t>PAY-M001-20251224-103</t>
  </si>
  <si>
    <t>PAY-M001-20251224-104</t>
  </si>
  <si>
    <t>PAY-M001-20251224-105</t>
  </si>
  <si>
    <t>PAY-M001-20251224-106</t>
  </si>
  <si>
    <t>PAY-M001-20251224-107</t>
  </si>
  <si>
    <t>PAY-M001-20251224-108</t>
  </si>
  <si>
    <t>PAY-M001-20251224-109</t>
  </si>
  <si>
    <t>PAY-M001-20251224-110</t>
  </si>
  <si>
    <t>PAY-M001-20251224-111</t>
  </si>
  <si>
    <t>PAY-M001-20251224-112</t>
  </si>
  <si>
    <t>PAY-M001-20251224-113</t>
  </si>
  <si>
    <t>PAY-M001-20251224-114</t>
  </si>
  <si>
    <t>PAY-M001-20251224-115</t>
  </si>
  <si>
    <t>PAY-M001-20251224-116</t>
  </si>
  <si>
    <t>PAY-M001-20251224-117</t>
  </si>
  <si>
    <t>PAY-M001-20251224-118</t>
  </si>
  <si>
    <t>PAY-M001-20251224-119</t>
  </si>
  <si>
    <t>PAY-M001-20251224-120</t>
  </si>
  <si>
    <t>PAY-M001-20251224-121</t>
  </si>
  <si>
    <t>PAY-M001-20251224-122</t>
  </si>
  <si>
    <t>PAY-M001-20251224-123</t>
  </si>
  <si>
    <t>PAY-M001-20251224-124</t>
  </si>
  <si>
    <t>PAY-M001-20251224-125</t>
  </si>
  <si>
    <t>PAY-M001-20251224-126</t>
  </si>
  <si>
    <t>PAY-M001-20251224-127</t>
  </si>
  <si>
    <t>PAY-M001-20251224-128</t>
  </si>
  <si>
    <t>PAY-M001-20251224-129</t>
  </si>
  <si>
    <t>PAY-M001-20251224-130</t>
  </si>
  <si>
    <t>PAY-M001-20251224-131</t>
  </si>
  <si>
    <t>PAY-M001-20251224-132</t>
  </si>
  <si>
    <t>PAY-M001-20251224-133</t>
  </si>
  <si>
    <t>PAY-M001-20251224-134</t>
  </si>
  <si>
    <t>PAY-M001-20251224-135</t>
  </si>
  <si>
    <t>PAY-M001-20251224-136</t>
  </si>
  <si>
    <t>PAY-M001-20251224-137</t>
  </si>
  <si>
    <t>PAY-M001-20251224-138</t>
  </si>
  <si>
    <t>PAY-M001-20251224-139</t>
  </si>
  <si>
    <t>PAY-M001-20251224-140</t>
  </si>
  <si>
    <t>PAY-M001-20251224-141</t>
  </si>
  <si>
    <t>PAY-M001-20251224-142</t>
  </si>
  <si>
    <t>PAY-M001-20251224-143</t>
  </si>
  <si>
    <t>PAY-M001-20251224-144</t>
  </si>
  <si>
    <t>PAY-M001-20251224-145</t>
  </si>
  <si>
    <t>PAY-M001-20251224-146</t>
  </si>
  <si>
    <t>PAY-M001-20251224-147</t>
  </si>
  <si>
    <t>PAY-M001-20251224-148</t>
  </si>
  <si>
    <t>PAY-M001-20251224-149</t>
  </si>
  <si>
    <t>PAY-M001-20251224-150</t>
  </si>
  <si>
    <t>PAY-M001-20251224-151</t>
  </si>
  <si>
    <t>PAY-M001-20251224-152</t>
  </si>
  <si>
    <t>PAY-M001-20251224-153</t>
  </si>
  <si>
    <t>PAY-M001-20251224-154</t>
  </si>
  <si>
    <t>PAY-M001-20251224-155</t>
  </si>
  <si>
    <t>PAY-M001-20251224-156</t>
  </si>
  <si>
    <t>PAY-M001-20251224-157</t>
  </si>
  <si>
    <t>PAY-M001-20251224-158</t>
  </si>
  <si>
    <t>PAY-M001-20251224-159</t>
  </si>
  <si>
    <t>PAY-M001-20251224-160</t>
  </si>
  <si>
    <t>PAY-M001-20251224-161</t>
  </si>
  <si>
    <t>PAY-M001-20251224-162</t>
  </si>
  <si>
    <t>PAY-M001-20251224-163</t>
  </si>
  <si>
    <t>PAY-M001-20251224-164</t>
  </si>
  <si>
    <t>PAY-M001-20251224-165</t>
  </si>
  <si>
    <t>PAY-M001-20251224-166</t>
  </si>
  <si>
    <t>PAY-M001-20251224-167</t>
  </si>
  <si>
    <t>PAY-M001-20251224-168</t>
  </si>
  <si>
    <t>PAY-M001-20251224-169</t>
  </si>
  <si>
    <t>PAY-M001-20251224-170</t>
  </si>
  <si>
    <t>PAY-M001-20251224-171</t>
  </si>
  <si>
    <t>PAY-M001-20251224-172</t>
  </si>
  <si>
    <t>PAY-M001-20251224-173</t>
  </si>
  <si>
    <t>PAY-M001-20251224-174</t>
  </si>
  <si>
    <t>PAY-M001-20251224-175</t>
  </si>
  <si>
    <t>PAY-M001-20251224-176</t>
  </si>
  <si>
    <t>PAY-M001-20251224-177</t>
  </si>
  <si>
    <t>PAY-M001-20251224-178</t>
  </si>
  <si>
    <t>PAY-M001-20251224-179</t>
  </si>
  <si>
    <t>PAY-M001-20251224-180</t>
  </si>
  <si>
    <t>PAY-M001-20251224-181</t>
  </si>
  <si>
    <t>PAY-M001-20251224-182</t>
  </si>
  <si>
    <t>PAY-M001-20251224-183</t>
  </si>
  <si>
    <t>PAY-M001-20251224-184</t>
  </si>
  <si>
    <t>PAY-M001-20251224-185</t>
  </si>
  <si>
    <t>PAY-M001-20251224-186</t>
  </si>
  <si>
    <t>PAY-M001-20251224-187</t>
  </si>
  <si>
    <t>PAY-M001-20251224-188</t>
  </si>
  <si>
    <t>PAY-M001-20251224-189</t>
  </si>
  <si>
    <t>PAY-M001-20251224-190</t>
  </si>
  <si>
    <t>PAY-M001-20251224-191</t>
  </si>
  <si>
    <t>PAY-M001-20251224-192</t>
  </si>
  <si>
    <t>PAY-M001-20251224-193</t>
  </si>
  <si>
    <t>PAY-M001-20251224-194</t>
  </si>
  <si>
    <t>PAY-M001-20251224-195</t>
  </si>
  <si>
    <t>PAY-M001-20251224-196</t>
  </si>
  <si>
    <t>PAY-M001-20251224-197</t>
  </si>
  <si>
    <t>PAY-M001-20251224-198</t>
  </si>
  <si>
    <t>PAY-M001-20251224-199</t>
  </si>
  <si>
    <t>PAY-M001-20251224-200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</si>
</sst>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7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B313-2CEC-48F5-8AB9-50F2BFAF18CE}">
  <dimension ref="A1:J201"/>
  <sheetViews>
    <sheetView workbookViewId="0">
      <selection activeCell="J1" sqref="J1"/>
    </sheetView>
  </sheetViews>
  <sheetFormatPr defaultRowHeight="14.4" x14ac:dyDescent="0.3"/>
  <cols>
    <col min="1" max="1" width="15.5546875" customWidth="1"/>
    <col min="2" max="2" width="10.33203125" bestFit="1" customWidth="1"/>
    <col min="3" max="3" width="19.21875" customWidth="1"/>
    <col min="4" max="4" width="5.88671875" customWidth="1"/>
    <col min="5" max="5" width="7.109375" bestFit="1" customWidth="1"/>
    <col min="6" max="6" width="21.88671875" customWidth="1"/>
    <col min="7" max="7" width="10.33203125" customWidth="1"/>
    <col min="8" max="8" width="8.6640625" customWidth="1"/>
    <col min="9" max="9" width="12" customWidth="1"/>
  </cols>
  <sheetData>
    <row r="1" spans="1:10" ht="3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t="s">
        <v>18</v>
      </c>
      <c r="B2" s="2">
        <v>45624</v>
      </c>
      <c r="C2" t="s">
        <v>218</v>
      </c>
      <c r="D2">
        <v>18</v>
      </c>
      <c r="E2" t="s">
        <v>409</v>
      </c>
      <c r="F2" t="str">
        <f>IF(G2=A,"Basic", IF(G2=D,"Standard", IF(G2=B,"Premium","Not Paid")))</f>
        <v>Basic</v>
      </c>
      <c r="G2" s="3" t="s">
        <v>411</v>
      </c>
      <c r="H2" t="str" cm="1">
        <f t="array" ref="H2">_xlfn.IFS(D2&gt;50,"Inactive",D2&lt;=50,"Active")</f>
        <v>Active</v>
      </c>
      <c r="I2" t="s">
        <v>414</v>
      </c>
    </row>
    <row r="3" spans="1:10" x14ac:dyDescent="0.3">
      <c r="A3" t="s">
        <v>19</v>
      </c>
      <c r="B3" s="2">
        <v>45859</v>
      </c>
      <c r="C3" t="s">
        <v>219</v>
      </c>
      <c r="D3">
        <v>54</v>
      </c>
      <c r="E3" t="s">
        <v>409</v>
      </c>
      <c r="F3" t="str">
        <f>IF(G3=A,"Basic", IF(G3=D,"Standard", IF(G3=B,"Premium","Not Paid")))</f>
        <v>Premium</v>
      </c>
      <c r="G3" s="3" t="s">
        <v>412</v>
      </c>
      <c r="H3" t="str" cm="1">
        <f t="array" ref="H3">_xlfn.IFS(D3&gt;50,"Inactive",D3&lt;=50,"Active")</f>
        <v>Inactive</v>
      </c>
      <c r="I3" t="s">
        <v>414</v>
      </c>
    </row>
    <row r="4" spans="1:10" x14ac:dyDescent="0.3">
      <c r="A4" t="s">
        <v>20</v>
      </c>
      <c r="B4" s="2">
        <v>45454</v>
      </c>
      <c r="C4" t="s">
        <v>220</v>
      </c>
      <c r="D4">
        <v>36</v>
      </c>
      <c r="E4" t="s">
        <v>410</v>
      </c>
      <c r="F4" t="str">
        <f>IF(G4=A,"Basic", IF(G4=D,"Standard", IF(G4=B,"Premium","Not Paid")))</f>
        <v>Standard</v>
      </c>
      <c r="G4" s="3" t="s">
        <v>413</v>
      </c>
      <c r="H4" t="str" cm="1">
        <f t="array" ref="H4">_xlfn.IFS(D4&gt;50,"Inactive",D4&lt;=50,"Active")</f>
        <v>Active</v>
      </c>
      <c r="I4" t="s">
        <v>414</v>
      </c>
    </row>
    <row r="5" spans="1:10" x14ac:dyDescent="0.3">
      <c r="A5" t="s">
        <v>21</v>
      </c>
      <c r="B5" s="2">
        <v>45778</v>
      </c>
      <c r="C5" t="s">
        <v>221</v>
      </c>
      <c r="D5">
        <v>50</v>
      </c>
      <c r="E5" t="s">
        <v>410</v>
      </c>
      <c r="F5" t="str">
        <f>IF(G5=A,"Basic", IF(G5=D,"Standard", IF(G5=B,"Premium","Not Paid")))</f>
        <v>Basic</v>
      </c>
      <c r="G5" s="3" t="s">
        <v>411</v>
      </c>
      <c r="H5" t="str" cm="1">
        <f t="array" ref="H5">_xlfn.IFS(D5&gt;50,"Inactive",D5&lt;=50,"Active")</f>
        <v>Active</v>
      </c>
      <c r="I5" t="s">
        <v>414</v>
      </c>
    </row>
    <row r="6" spans="1:10" x14ac:dyDescent="0.3">
      <c r="A6" t="s">
        <v>22</v>
      </c>
      <c r="B6" s="2">
        <v>45588</v>
      </c>
      <c r="C6" t="s">
        <v>222</v>
      </c>
      <c r="D6">
        <v>65</v>
      </c>
      <c r="E6" t="s">
        <v>409</v>
      </c>
      <c r="F6" t="str">
        <f>IF(G6=A,"Basic", IF(G6=D,"Standard", IF(G6=B,"Premium","Not Paid")))</f>
        <v>Premium</v>
      </c>
      <c r="G6" s="3" t="s">
        <v>412</v>
      </c>
      <c r="H6" t="str" cm="1">
        <f t="array" ref="H6">_xlfn.IFS(D6&gt;50,"Inactive",D6&lt;=50,"Active")</f>
        <v>Inactive</v>
      </c>
      <c r="I6" t="s">
        <v>414</v>
      </c>
    </row>
    <row r="7" spans="1:10" x14ac:dyDescent="0.3">
      <c r="A7" t="s">
        <v>23</v>
      </c>
      <c r="B7" s="2">
        <v>45968</v>
      </c>
      <c r="C7" t="s">
        <v>223</v>
      </c>
      <c r="D7">
        <v>64</v>
      </c>
      <c r="E7" t="s">
        <v>409</v>
      </c>
      <c r="F7" t="str">
        <f>IF(G7=A,"Basic", IF(G7=D,"Standard", IF(G7=B,"Premium","Not Paid")))</f>
        <v>Standard</v>
      </c>
      <c r="G7" s="3" t="s">
        <v>413</v>
      </c>
      <c r="H7" t="str" cm="1">
        <f t="array" ref="H7">_xlfn.IFS(D7&gt;50,"Inactive",D7&lt;=50,"Active")</f>
        <v>Inactive</v>
      </c>
      <c r="I7" t="s">
        <v>414</v>
      </c>
    </row>
    <row r="8" spans="1:10" x14ac:dyDescent="0.3">
      <c r="A8" t="s">
        <v>24</v>
      </c>
      <c r="B8" s="2">
        <v>45436</v>
      </c>
      <c r="C8" t="s">
        <v>224</v>
      </c>
      <c r="D8">
        <v>28</v>
      </c>
      <c r="E8" t="s">
        <v>410</v>
      </c>
      <c r="F8" t="str">
        <f>IF(G8=A,"Basic", IF(G8=D,"Standard", IF(G8=B,"Premium","Not Paid")))</f>
        <v>Basic</v>
      </c>
      <c r="G8" s="3" t="s">
        <v>411</v>
      </c>
      <c r="H8" t="str" cm="1">
        <f t="array" ref="H8">_xlfn.IFS(D8&gt;50,"Inactive",D8&lt;=50,"Active")</f>
        <v>Active</v>
      </c>
      <c r="I8" t="s">
        <v>414</v>
      </c>
    </row>
    <row r="9" spans="1:10" x14ac:dyDescent="0.3">
      <c r="A9" t="s">
        <v>25</v>
      </c>
      <c r="B9" s="2">
        <v>45827</v>
      </c>
      <c r="C9" t="s">
        <v>225</v>
      </c>
      <c r="D9">
        <v>50</v>
      </c>
      <c r="E9" t="s">
        <v>410</v>
      </c>
      <c r="F9" t="str">
        <f>IF(G9=A,"Basic", IF(G9=D,"Standard", IF(G9=B,"Premium","Not Paid")))</f>
        <v>Premium</v>
      </c>
      <c r="G9" s="3" t="s">
        <v>412</v>
      </c>
      <c r="H9" t="str" cm="1">
        <f t="array" ref="H9">_xlfn.IFS(D9&gt;50,"Inactive",D9&lt;=50,"Active")</f>
        <v>Active</v>
      </c>
      <c r="I9" t="s">
        <v>414</v>
      </c>
    </row>
    <row r="10" spans="1:10" x14ac:dyDescent="0.3">
      <c r="A10" t="s">
        <v>26</v>
      </c>
      <c r="B10" s="2">
        <v>45443</v>
      </c>
      <c r="C10" t="s">
        <v>226</v>
      </c>
      <c r="D10">
        <v>64</v>
      </c>
      <c r="E10" t="s">
        <v>409</v>
      </c>
      <c r="F10" t="str">
        <f>IF(G10=A,"Basic", IF(G10=D,"Standard", IF(G10=B,"Premium","Not Paid")))</f>
        <v>Standard</v>
      </c>
      <c r="G10" s="3" t="s">
        <v>413</v>
      </c>
      <c r="H10" t="str" cm="1">
        <f t="array" ref="H10">_xlfn.IFS(D10&gt;50,"Inactive",D10&lt;=50,"Active")</f>
        <v>Inactive</v>
      </c>
      <c r="I10" t="s">
        <v>414</v>
      </c>
    </row>
    <row r="11" spans="1:10" x14ac:dyDescent="0.3">
      <c r="A11" t="s">
        <v>27</v>
      </c>
      <c r="B11" s="2">
        <v>45604</v>
      </c>
      <c r="C11" t="s">
        <v>227</v>
      </c>
      <c r="D11">
        <v>60</v>
      </c>
      <c r="E11" t="s">
        <v>409</v>
      </c>
      <c r="F11" t="str">
        <f>IF(G11=A,"Basic", IF(G11=D,"Standard", IF(G11=B,"Premium","Not Paid")))</f>
        <v>Basic</v>
      </c>
      <c r="G11" s="3" t="s">
        <v>411</v>
      </c>
      <c r="H11" t="str" cm="1">
        <f t="array" ref="H11">_xlfn.IFS(D11&gt;50,"Inactive",D11&lt;=50,"Active")</f>
        <v>Inactive</v>
      </c>
      <c r="I11" t="s">
        <v>414</v>
      </c>
    </row>
    <row r="12" spans="1:10" x14ac:dyDescent="0.3">
      <c r="A12" t="s">
        <v>28</v>
      </c>
      <c r="B12" s="2">
        <v>45485</v>
      </c>
      <c r="C12" t="s">
        <v>228</v>
      </c>
      <c r="D12">
        <v>45</v>
      </c>
      <c r="E12" t="s">
        <v>410</v>
      </c>
      <c r="F12" t="str">
        <f>IF(G12=A,"Basic", IF(G12=D,"Standard", IF(G12=B,"Premium","Not Paid")))</f>
        <v>Premium</v>
      </c>
      <c r="G12" s="3" t="s">
        <v>412</v>
      </c>
      <c r="H12" t="str" cm="1">
        <f t="array" ref="H12">_xlfn.IFS(D12&gt;50,"Inactive",D12&lt;=50,"Active")</f>
        <v>Active</v>
      </c>
      <c r="I12" t="s">
        <v>414</v>
      </c>
    </row>
    <row r="13" spans="1:10" x14ac:dyDescent="0.3">
      <c r="A13" t="s">
        <v>29</v>
      </c>
      <c r="B13" s="2">
        <v>45945</v>
      </c>
      <c r="C13" t="s">
        <v>229</v>
      </c>
      <c r="D13">
        <v>49</v>
      </c>
      <c r="E13" t="s">
        <v>410</v>
      </c>
      <c r="F13" t="str">
        <f>IF(G13=A,"Basic", IF(G13=D,"Standard", IF(G13=B,"Premium","Not Paid")))</f>
        <v>Standard</v>
      </c>
      <c r="G13" s="3" t="s">
        <v>413</v>
      </c>
      <c r="H13" t="str" cm="1">
        <f t="array" ref="H13">_xlfn.IFS(D13&gt;50,"Inactive",D13&lt;=50,"Active")</f>
        <v>Active</v>
      </c>
      <c r="I13" t="s">
        <v>414</v>
      </c>
    </row>
    <row r="14" spans="1:10" x14ac:dyDescent="0.3">
      <c r="A14" t="s">
        <v>30</v>
      </c>
      <c r="B14" s="2">
        <v>45689</v>
      </c>
      <c r="C14" t="s">
        <v>230</v>
      </c>
      <c r="D14">
        <v>30</v>
      </c>
      <c r="E14" t="s">
        <v>409</v>
      </c>
      <c r="F14" t="str">
        <f>IF(G14=A,"Basic", IF(G14=D,"Standard", IF(G14=B,"Premium","Not Paid")))</f>
        <v>Basic</v>
      </c>
      <c r="G14" s="3" t="s">
        <v>411</v>
      </c>
      <c r="H14" t="str" cm="1">
        <f t="array" ref="H14">_xlfn.IFS(D14&gt;50,"Inactive",D14&lt;=50,"Active")</f>
        <v>Active</v>
      </c>
      <c r="I14" t="s">
        <v>414</v>
      </c>
    </row>
    <row r="15" spans="1:10" x14ac:dyDescent="0.3">
      <c r="A15" t="s">
        <v>31</v>
      </c>
      <c r="B15" s="2">
        <v>45441</v>
      </c>
      <c r="C15" t="s">
        <v>231</v>
      </c>
      <c r="D15">
        <v>36</v>
      </c>
      <c r="E15" t="s">
        <v>409</v>
      </c>
      <c r="F15" t="str">
        <f>IF(G15=A,"Basic", IF(G15=D,"Standard", IF(G15=B,"Premium","Not Paid")))</f>
        <v>Premium</v>
      </c>
      <c r="G15" s="3" t="s">
        <v>412</v>
      </c>
      <c r="H15" t="str" cm="1">
        <f t="array" ref="H15">_xlfn.IFS(D15&gt;50,"Inactive",D15&lt;=50,"Active")</f>
        <v>Active</v>
      </c>
      <c r="I15" t="s">
        <v>414</v>
      </c>
    </row>
    <row r="16" spans="1:10" x14ac:dyDescent="0.3">
      <c r="A16" t="s">
        <v>32</v>
      </c>
      <c r="B16" s="2">
        <v>45314</v>
      </c>
      <c r="C16" t="s">
        <v>232</v>
      </c>
      <c r="D16">
        <v>62</v>
      </c>
      <c r="E16" t="s">
        <v>410</v>
      </c>
      <c r="F16" t="str">
        <f>IF(G16=A,"Basic", IF(G16=D,"Standard", IF(G16=B,"Premium","Not Paid")))</f>
        <v>Standard</v>
      </c>
      <c r="G16" s="3" t="s">
        <v>413</v>
      </c>
      <c r="H16" t="str" cm="1">
        <f t="array" ref="H16">_xlfn.IFS(D16&gt;50,"Inactive",D16&lt;=50,"Active")</f>
        <v>Inactive</v>
      </c>
      <c r="I16" t="s">
        <v>414</v>
      </c>
    </row>
    <row r="17" spans="1:9" x14ac:dyDescent="0.3">
      <c r="A17" t="s">
        <v>33</v>
      </c>
      <c r="B17" s="2">
        <v>45630</v>
      </c>
      <c r="C17" t="s">
        <v>233</v>
      </c>
      <c r="D17">
        <v>46</v>
      </c>
      <c r="E17" t="s">
        <v>410</v>
      </c>
      <c r="F17" t="str">
        <f>IF(G17=A,"Basic", IF(G17=D,"Standard", IF(G17=B,"Premium","Not Paid")))</f>
        <v>Basic</v>
      </c>
      <c r="G17" s="3" t="s">
        <v>411</v>
      </c>
      <c r="H17" t="str" cm="1">
        <f t="array" ref="H17">_xlfn.IFS(D17&gt;50,"Inactive",D17&lt;=50,"Active")</f>
        <v>Active</v>
      </c>
      <c r="I17" t="s">
        <v>414</v>
      </c>
    </row>
    <row r="18" spans="1:9" x14ac:dyDescent="0.3">
      <c r="A18" t="s">
        <v>34</v>
      </c>
      <c r="B18" s="2">
        <v>45594</v>
      </c>
      <c r="C18" t="s">
        <v>234</v>
      </c>
      <c r="D18">
        <v>37</v>
      </c>
      <c r="E18" t="s">
        <v>409</v>
      </c>
      <c r="F18" t="str">
        <f>IF(G18=A,"Basic", IF(G18=D,"Standard", IF(G18=B,"Premium","Not Paid")))</f>
        <v>Premium</v>
      </c>
      <c r="G18" s="3" t="s">
        <v>412</v>
      </c>
      <c r="H18" t="str" cm="1">
        <f t="array" ref="H18">_xlfn.IFS(D18&gt;50,"Inactive",D18&lt;=50,"Active")</f>
        <v>Active</v>
      </c>
      <c r="I18" t="s">
        <v>414</v>
      </c>
    </row>
    <row r="19" spans="1:9" x14ac:dyDescent="0.3">
      <c r="A19" t="s">
        <v>35</v>
      </c>
      <c r="B19" s="2">
        <v>45399</v>
      </c>
      <c r="C19" t="s">
        <v>235</v>
      </c>
      <c r="D19">
        <v>32</v>
      </c>
      <c r="E19" t="s">
        <v>409</v>
      </c>
      <c r="F19" t="str">
        <f>IF(G19=A,"Basic", IF(G19=D,"Standard", IF(G19=B,"Premium","Not Paid")))</f>
        <v>Standard</v>
      </c>
      <c r="G19" s="3" t="s">
        <v>413</v>
      </c>
      <c r="H19" t="str" cm="1">
        <f t="array" ref="H19">_xlfn.IFS(D19&gt;50,"Inactive",D19&lt;=50,"Active")</f>
        <v>Active</v>
      </c>
      <c r="I19" t="s">
        <v>414</v>
      </c>
    </row>
    <row r="20" spans="1:9" x14ac:dyDescent="0.3">
      <c r="A20" t="s">
        <v>36</v>
      </c>
      <c r="B20" s="2">
        <v>45732</v>
      </c>
      <c r="C20" t="s">
        <v>236</v>
      </c>
      <c r="D20">
        <v>25</v>
      </c>
      <c r="E20" t="s">
        <v>410</v>
      </c>
      <c r="F20" t="str">
        <f>IF(G20=A,"Basic", IF(G20=D,"Standard", IF(G20=B,"Premium","Not Paid")))</f>
        <v>Basic</v>
      </c>
      <c r="G20" s="3" t="s">
        <v>411</v>
      </c>
      <c r="H20" t="str" cm="1">
        <f t="array" ref="H20">_xlfn.IFS(D20&gt;50,"Inactive",D20&lt;=50,"Active")</f>
        <v>Active</v>
      </c>
      <c r="I20" t="s">
        <v>414</v>
      </c>
    </row>
    <row r="21" spans="1:9" x14ac:dyDescent="0.3">
      <c r="A21" t="s">
        <v>37</v>
      </c>
      <c r="B21" s="2">
        <v>45730</v>
      </c>
      <c r="C21" t="s">
        <v>237</v>
      </c>
      <c r="D21">
        <v>24</v>
      </c>
      <c r="E21" t="s">
        <v>410</v>
      </c>
      <c r="F21" t="str">
        <f>IF(G21=A,"Basic", IF(G21=D,"Standard", IF(G21=B,"Premium","Not Paid")))</f>
        <v>Premium</v>
      </c>
      <c r="G21" s="3" t="s">
        <v>412</v>
      </c>
      <c r="H21" t="str" cm="1">
        <f t="array" ref="H21">_xlfn.IFS(D21&gt;50,"Inactive",D21&lt;=50,"Active")</f>
        <v>Active</v>
      </c>
      <c r="I21" t="s">
        <v>414</v>
      </c>
    </row>
    <row r="22" spans="1:9" x14ac:dyDescent="0.3">
      <c r="A22" t="s">
        <v>38</v>
      </c>
      <c r="B22" s="2">
        <v>45533</v>
      </c>
      <c r="C22" t="s">
        <v>238</v>
      </c>
      <c r="D22">
        <v>27</v>
      </c>
      <c r="E22" t="s">
        <v>409</v>
      </c>
      <c r="F22" t="str">
        <f>IF(G22=A,"Basic", IF(G22=D,"Standard", IF(G22=B,"Premium","Not Paid")))</f>
        <v>Standard</v>
      </c>
      <c r="G22" s="3" t="s">
        <v>413</v>
      </c>
      <c r="H22" t="str" cm="1">
        <f t="array" ref="H22">_xlfn.IFS(D22&gt;50,"Inactive",D22&lt;=50,"Active")</f>
        <v>Active</v>
      </c>
      <c r="I22" t="s">
        <v>414</v>
      </c>
    </row>
    <row r="23" spans="1:9" x14ac:dyDescent="0.3">
      <c r="A23" t="s">
        <v>39</v>
      </c>
      <c r="B23" s="2">
        <v>45528</v>
      </c>
      <c r="C23" t="s">
        <v>239</v>
      </c>
      <c r="D23">
        <v>51</v>
      </c>
      <c r="E23" t="s">
        <v>409</v>
      </c>
      <c r="F23" t="str">
        <f>IF(G23=A,"Basic", IF(G23=D,"Standard", IF(G23=B,"Premium","Not Paid")))</f>
        <v>Basic</v>
      </c>
      <c r="G23" s="3" t="s">
        <v>411</v>
      </c>
      <c r="H23" t="str" cm="1">
        <f t="array" ref="H23">_xlfn.IFS(D23&gt;50,"Inactive",D23&lt;=50,"Active")</f>
        <v>Inactive</v>
      </c>
      <c r="I23" t="s">
        <v>414</v>
      </c>
    </row>
    <row r="24" spans="1:9" x14ac:dyDescent="0.3">
      <c r="A24" t="s">
        <v>40</v>
      </c>
      <c r="B24" s="2">
        <v>45729</v>
      </c>
      <c r="C24" t="s">
        <v>240</v>
      </c>
      <c r="D24">
        <v>50</v>
      </c>
      <c r="E24" t="s">
        <v>410</v>
      </c>
      <c r="F24" t="str">
        <f>IF(G24=A,"Basic", IF(G24=D,"Standard", IF(G24=B,"Premium","Not Paid")))</f>
        <v>Premium</v>
      </c>
      <c r="G24" s="3" t="s">
        <v>412</v>
      </c>
      <c r="H24" t="str" cm="1">
        <f t="array" ref="H24">_xlfn.IFS(D24&gt;50,"Inactive",D24&lt;=50,"Active")</f>
        <v>Active</v>
      </c>
      <c r="I24" t="s">
        <v>414</v>
      </c>
    </row>
    <row r="25" spans="1:9" x14ac:dyDescent="0.3">
      <c r="A25" t="s">
        <v>41</v>
      </c>
      <c r="B25" s="2">
        <v>45591</v>
      </c>
      <c r="C25" t="s">
        <v>241</v>
      </c>
      <c r="D25">
        <v>34</v>
      </c>
      <c r="E25" t="s">
        <v>410</v>
      </c>
      <c r="F25" t="str">
        <f>IF(G25=A,"Basic", IF(G25=D,"Standard", IF(G25=B,"Premium","Not Paid")))</f>
        <v>Standard</v>
      </c>
      <c r="G25" s="3" t="s">
        <v>413</v>
      </c>
      <c r="H25" t="str" cm="1">
        <f t="array" ref="H25">_xlfn.IFS(D25&gt;50,"Inactive",D25&lt;=50,"Active")</f>
        <v>Active</v>
      </c>
      <c r="I25" t="s">
        <v>414</v>
      </c>
    </row>
    <row r="26" spans="1:9" x14ac:dyDescent="0.3">
      <c r="A26" t="s">
        <v>42</v>
      </c>
      <c r="B26" s="2">
        <v>45904</v>
      </c>
      <c r="C26" t="s">
        <v>242</v>
      </c>
      <c r="D26">
        <v>56</v>
      </c>
      <c r="E26" t="s">
        <v>409</v>
      </c>
      <c r="F26" t="str">
        <f>IF(G26=A,"Basic", IF(G26=D,"Standard", IF(G26=B,"Premium","Not Paid")))</f>
        <v>Basic</v>
      </c>
      <c r="G26" s="3" t="s">
        <v>411</v>
      </c>
      <c r="H26" t="str" cm="1">
        <f t="array" ref="H26">_xlfn.IFS(D26&gt;50,"Inactive",D26&lt;=50,"Active")</f>
        <v>Inactive</v>
      </c>
      <c r="I26" t="s">
        <v>414</v>
      </c>
    </row>
    <row r="27" spans="1:9" x14ac:dyDescent="0.3">
      <c r="A27" t="s">
        <v>43</v>
      </c>
      <c r="B27" s="2">
        <v>45879</v>
      </c>
      <c r="C27" t="s">
        <v>243</v>
      </c>
      <c r="D27">
        <v>51</v>
      </c>
      <c r="E27" t="s">
        <v>409</v>
      </c>
      <c r="F27" t="str">
        <f>IF(G27=A,"Basic", IF(G27=D,"Standard", IF(G27=B,"Premium","Not Paid")))</f>
        <v>Premium</v>
      </c>
      <c r="G27" s="3" t="s">
        <v>412</v>
      </c>
      <c r="H27" t="str" cm="1">
        <f t="array" ref="H27">_xlfn.IFS(D27&gt;50,"Inactive",D27&lt;=50,"Active")</f>
        <v>Inactive</v>
      </c>
      <c r="I27" t="s">
        <v>414</v>
      </c>
    </row>
    <row r="28" spans="1:9" x14ac:dyDescent="0.3">
      <c r="A28" t="s">
        <v>44</v>
      </c>
      <c r="B28" s="2">
        <v>45871</v>
      </c>
      <c r="C28" t="s">
        <v>244</v>
      </c>
      <c r="D28">
        <v>30</v>
      </c>
      <c r="E28" t="s">
        <v>410</v>
      </c>
      <c r="F28" t="str">
        <f>IF(G28=A,"Basic", IF(G28=D,"Standard", IF(G28=B,"Premium","Not Paid")))</f>
        <v>Standard</v>
      </c>
      <c r="G28" s="3" t="s">
        <v>413</v>
      </c>
      <c r="H28" t="str" cm="1">
        <f t="array" ref="H28">_xlfn.IFS(D28&gt;50,"Inactive",D28&lt;=50,"Active")</f>
        <v>Active</v>
      </c>
      <c r="I28" t="s">
        <v>414</v>
      </c>
    </row>
    <row r="29" spans="1:9" x14ac:dyDescent="0.3">
      <c r="A29" t="s">
        <v>45</v>
      </c>
      <c r="B29" s="2">
        <v>45407</v>
      </c>
      <c r="C29" t="s">
        <v>245</v>
      </c>
      <c r="D29">
        <v>52</v>
      </c>
      <c r="E29" t="s">
        <v>410</v>
      </c>
      <c r="F29" t="str">
        <f>IF(G29=A,"Basic", IF(G29=D,"Standard", IF(G29=B,"Premium","Not Paid")))</f>
        <v>Basic</v>
      </c>
      <c r="G29" s="3" t="s">
        <v>411</v>
      </c>
      <c r="H29" t="str" cm="1">
        <f t="array" ref="H29">_xlfn.IFS(D29&gt;50,"Inactive",D29&lt;=50,"Active")</f>
        <v>Inactive</v>
      </c>
      <c r="I29" t="s">
        <v>414</v>
      </c>
    </row>
    <row r="30" spans="1:9" x14ac:dyDescent="0.3">
      <c r="A30" t="s">
        <v>46</v>
      </c>
      <c r="B30" s="2">
        <v>45547</v>
      </c>
      <c r="C30" t="s">
        <v>246</v>
      </c>
      <c r="D30">
        <v>18</v>
      </c>
      <c r="E30" t="s">
        <v>409</v>
      </c>
      <c r="F30" t="str">
        <f>IF(G30=A,"Basic", IF(G30=D,"Standard", IF(G30=B,"Premium","Not Paid")))</f>
        <v>Premium</v>
      </c>
      <c r="G30" s="3" t="s">
        <v>412</v>
      </c>
      <c r="H30" t="str" cm="1">
        <f t="array" ref="H30">_xlfn.IFS(D30&gt;50,"Inactive",D30&lt;=50,"Active")</f>
        <v>Active</v>
      </c>
      <c r="I30" t="s">
        <v>414</v>
      </c>
    </row>
    <row r="31" spans="1:9" x14ac:dyDescent="0.3">
      <c r="A31" t="s">
        <v>47</v>
      </c>
      <c r="B31" s="2">
        <v>45564</v>
      </c>
      <c r="C31" t="s">
        <v>247</v>
      </c>
      <c r="D31">
        <v>60</v>
      </c>
      <c r="E31" t="s">
        <v>409</v>
      </c>
      <c r="F31" t="str">
        <f>IF(G31=A,"Basic", IF(G31=D,"Standard", IF(G31=B,"Premium","Not Paid")))</f>
        <v>Standard</v>
      </c>
      <c r="G31" s="3" t="s">
        <v>413</v>
      </c>
      <c r="H31" t="str" cm="1">
        <f t="array" ref="H31">_xlfn.IFS(D31&gt;50,"Inactive",D31&lt;=50,"Active")</f>
        <v>Inactive</v>
      </c>
      <c r="I31" t="s">
        <v>414</v>
      </c>
    </row>
    <row r="32" spans="1:9" x14ac:dyDescent="0.3">
      <c r="A32" t="s">
        <v>48</v>
      </c>
      <c r="B32" s="2">
        <v>45920</v>
      </c>
      <c r="C32" t="s">
        <v>248</v>
      </c>
      <c r="D32">
        <v>40</v>
      </c>
      <c r="E32" t="s">
        <v>410</v>
      </c>
      <c r="F32" t="str">
        <f>IF(G32=A,"Basic", IF(G32=D,"Standard", IF(G32=B,"Premium","Not Paid")))</f>
        <v>Basic</v>
      </c>
      <c r="G32" s="3" t="s">
        <v>411</v>
      </c>
      <c r="H32" t="str" cm="1">
        <f t="array" ref="H32">_xlfn.IFS(D32&gt;50,"Inactive",D32&lt;=50,"Active")</f>
        <v>Active</v>
      </c>
      <c r="I32" t="s">
        <v>414</v>
      </c>
    </row>
    <row r="33" spans="1:9" x14ac:dyDescent="0.3">
      <c r="A33" t="s">
        <v>49</v>
      </c>
      <c r="B33" s="2">
        <v>45647</v>
      </c>
      <c r="C33" t="s">
        <v>249</v>
      </c>
      <c r="D33">
        <v>51</v>
      </c>
      <c r="E33" t="s">
        <v>410</v>
      </c>
      <c r="F33" t="str">
        <f>IF(G33=A,"Basic", IF(G33=D,"Standard", IF(G33=B,"Premium","Not Paid")))</f>
        <v>Premium</v>
      </c>
      <c r="G33" s="3" t="s">
        <v>412</v>
      </c>
      <c r="H33" t="str" cm="1">
        <f t="array" ref="H33">_xlfn.IFS(D33&gt;50,"Inactive",D33&lt;=50,"Active")</f>
        <v>Inactive</v>
      </c>
      <c r="I33" t="s">
        <v>414</v>
      </c>
    </row>
    <row r="34" spans="1:9" x14ac:dyDescent="0.3">
      <c r="A34" t="s">
        <v>50</v>
      </c>
      <c r="B34" s="2">
        <v>45632</v>
      </c>
      <c r="C34" t="s">
        <v>250</v>
      </c>
      <c r="D34">
        <v>24</v>
      </c>
      <c r="E34" t="s">
        <v>409</v>
      </c>
      <c r="F34" t="str">
        <f>IF(G34=A,"Basic", IF(G34=D,"Standard", IF(G34=B,"Premium","Not Paid")))</f>
        <v>Standard</v>
      </c>
      <c r="G34" s="3" t="s">
        <v>413</v>
      </c>
      <c r="H34" t="str" cm="1">
        <f t="array" ref="H34">_xlfn.IFS(D34&gt;50,"Inactive",D34&lt;=50,"Active")</f>
        <v>Active</v>
      </c>
      <c r="I34" t="s">
        <v>414</v>
      </c>
    </row>
    <row r="35" spans="1:9" x14ac:dyDescent="0.3">
      <c r="A35" t="s">
        <v>51</v>
      </c>
      <c r="B35" s="2">
        <v>45406</v>
      </c>
      <c r="C35" t="s">
        <v>251</v>
      </c>
      <c r="D35">
        <v>65</v>
      </c>
      <c r="E35" t="s">
        <v>409</v>
      </c>
      <c r="F35" t="str">
        <f>IF(G35=A,"Basic", IF(G35=D,"Standard", IF(G35=B,"Premium","Not Paid")))</f>
        <v>Basic</v>
      </c>
      <c r="G35" s="3" t="s">
        <v>411</v>
      </c>
      <c r="H35" t="str" cm="1">
        <f t="array" ref="H35">_xlfn.IFS(D35&gt;50,"Inactive",D35&lt;=50,"Active")</f>
        <v>Inactive</v>
      </c>
      <c r="I35" t="s">
        <v>414</v>
      </c>
    </row>
    <row r="36" spans="1:9" x14ac:dyDescent="0.3">
      <c r="A36" t="s">
        <v>52</v>
      </c>
      <c r="B36" s="2">
        <v>45833</v>
      </c>
      <c r="C36" t="s">
        <v>252</v>
      </c>
      <c r="D36">
        <v>59</v>
      </c>
      <c r="E36" t="s">
        <v>410</v>
      </c>
      <c r="F36" t="str">
        <f>IF(G36=A,"Basic", IF(G36=D,"Standard", IF(G36=B,"Premium","Not Paid")))</f>
        <v>Premium</v>
      </c>
      <c r="G36" s="3" t="s">
        <v>412</v>
      </c>
      <c r="H36" t="str" cm="1">
        <f t="array" ref="H36">_xlfn.IFS(D36&gt;50,"Inactive",D36&lt;=50,"Active")</f>
        <v>Inactive</v>
      </c>
      <c r="I36" t="s">
        <v>414</v>
      </c>
    </row>
    <row r="37" spans="1:9" x14ac:dyDescent="0.3">
      <c r="A37" t="s">
        <v>53</v>
      </c>
      <c r="B37" s="2">
        <v>45853</v>
      </c>
      <c r="C37" t="s">
        <v>233</v>
      </c>
      <c r="D37">
        <v>27</v>
      </c>
      <c r="E37" t="s">
        <v>410</v>
      </c>
      <c r="F37" t="str">
        <f>IF(G37=A,"Basic", IF(G37=D,"Standard", IF(G37=B,"Premium","Not Paid")))</f>
        <v>Standard</v>
      </c>
      <c r="G37" s="3" t="s">
        <v>413</v>
      </c>
      <c r="H37" t="str" cm="1">
        <f t="array" ref="H37">_xlfn.IFS(D37&gt;50,"Inactive",D37&lt;=50,"Active")</f>
        <v>Active</v>
      </c>
      <c r="I37" t="s">
        <v>414</v>
      </c>
    </row>
    <row r="38" spans="1:9" x14ac:dyDescent="0.3">
      <c r="A38" t="s">
        <v>54</v>
      </c>
      <c r="B38" s="2">
        <v>45286</v>
      </c>
      <c r="C38" t="s">
        <v>253</v>
      </c>
      <c r="D38">
        <v>41</v>
      </c>
      <c r="E38" t="s">
        <v>409</v>
      </c>
      <c r="F38" t="str">
        <f>IF(G38=A,"Basic", IF(G38=D,"Standard", IF(G38=B,"Premium","Not Paid")))</f>
        <v>Basic</v>
      </c>
      <c r="G38" s="3" t="s">
        <v>411</v>
      </c>
      <c r="H38" t="str" cm="1">
        <f t="array" ref="H38">_xlfn.IFS(D38&gt;50,"Inactive",D38&lt;=50,"Active")</f>
        <v>Active</v>
      </c>
      <c r="I38" t="s">
        <v>414</v>
      </c>
    </row>
    <row r="39" spans="1:9" x14ac:dyDescent="0.3">
      <c r="A39" t="s">
        <v>55</v>
      </c>
      <c r="B39" s="2">
        <v>45826</v>
      </c>
      <c r="C39" t="s">
        <v>254</v>
      </c>
      <c r="D39">
        <v>56</v>
      </c>
      <c r="E39" t="s">
        <v>409</v>
      </c>
      <c r="F39" t="str">
        <f>IF(G39=A,"Basic", IF(G39=D,"Standard", IF(G39=B,"Premium","Not Paid")))</f>
        <v>Premium</v>
      </c>
      <c r="G39" s="3" t="s">
        <v>412</v>
      </c>
      <c r="H39" t="str" cm="1">
        <f t="array" ref="H39">_xlfn.IFS(D39&gt;50,"Inactive",D39&lt;=50,"Active")</f>
        <v>Inactive</v>
      </c>
      <c r="I39" t="s">
        <v>414</v>
      </c>
    </row>
    <row r="40" spans="1:9" x14ac:dyDescent="0.3">
      <c r="A40" t="s">
        <v>56</v>
      </c>
      <c r="B40" s="2">
        <v>45578</v>
      </c>
      <c r="C40" t="s">
        <v>255</v>
      </c>
      <c r="D40">
        <v>62</v>
      </c>
      <c r="E40" t="s">
        <v>410</v>
      </c>
      <c r="F40" t="str">
        <f>IF(G40=A,"Basic", IF(G40=D,"Standard", IF(G40=B,"Premium","Not Paid")))</f>
        <v>Standard</v>
      </c>
      <c r="G40" s="3" t="s">
        <v>413</v>
      </c>
      <c r="H40" t="str" cm="1">
        <f t="array" ref="H40">_xlfn.IFS(D40&gt;50,"Inactive",D40&lt;=50,"Active")</f>
        <v>Inactive</v>
      </c>
      <c r="I40" t="s">
        <v>414</v>
      </c>
    </row>
    <row r="41" spans="1:9" x14ac:dyDescent="0.3">
      <c r="A41" t="s">
        <v>57</v>
      </c>
      <c r="B41" s="2">
        <v>45685</v>
      </c>
      <c r="C41" t="s">
        <v>256</v>
      </c>
      <c r="D41">
        <v>23</v>
      </c>
      <c r="E41" t="s">
        <v>410</v>
      </c>
      <c r="F41" t="str">
        <f>IF(G41=A,"Basic", IF(G41=D,"Standard", IF(G41=B,"Premium","Not Paid")))</f>
        <v>Basic</v>
      </c>
      <c r="G41" s="3" t="s">
        <v>411</v>
      </c>
      <c r="H41" t="str" cm="1">
        <f t="array" ref="H41">_xlfn.IFS(D41&gt;50,"Inactive",D41&lt;=50,"Active")</f>
        <v>Active</v>
      </c>
      <c r="I41" t="s">
        <v>414</v>
      </c>
    </row>
    <row r="42" spans="1:9" x14ac:dyDescent="0.3">
      <c r="A42" t="s">
        <v>58</v>
      </c>
      <c r="B42" s="2">
        <v>45396</v>
      </c>
      <c r="C42" t="s">
        <v>257</v>
      </c>
      <c r="D42">
        <v>58</v>
      </c>
      <c r="E42" t="s">
        <v>409</v>
      </c>
      <c r="F42" t="str">
        <f>IF(G42=A,"Basic", IF(G42=D,"Standard", IF(G42=B,"Premium","Not Paid")))</f>
        <v>Premium</v>
      </c>
      <c r="G42" s="3" t="s">
        <v>412</v>
      </c>
      <c r="H42" t="str" cm="1">
        <f t="array" ref="H42">_xlfn.IFS(D42&gt;50,"Inactive",D42&lt;=50,"Active")</f>
        <v>Inactive</v>
      </c>
      <c r="I42" t="s">
        <v>414</v>
      </c>
    </row>
    <row r="43" spans="1:9" x14ac:dyDescent="0.3">
      <c r="A43" t="s">
        <v>59</v>
      </c>
      <c r="B43" s="2">
        <v>45744</v>
      </c>
      <c r="C43" t="s">
        <v>258</v>
      </c>
      <c r="D43">
        <v>22</v>
      </c>
      <c r="E43" t="s">
        <v>409</v>
      </c>
      <c r="F43" t="str">
        <f>IF(G43=A,"Basic", IF(G43=D,"Standard", IF(G43=B,"Premium","Not Paid")))</f>
        <v>Standard</v>
      </c>
      <c r="G43" s="3" t="s">
        <v>413</v>
      </c>
      <c r="H43" t="str" cm="1">
        <f t="array" ref="H43">_xlfn.IFS(D43&gt;50,"Inactive",D43&lt;=50,"Active")</f>
        <v>Active</v>
      </c>
      <c r="I43" t="s">
        <v>414</v>
      </c>
    </row>
    <row r="44" spans="1:9" x14ac:dyDescent="0.3">
      <c r="A44" t="s">
        <v>60</v>
      </c>
      <c r="B44" s="2">
        <v>45339</v>
      </c>
      <c r="C44" t="s">
        <v>259</v>
      </c>
      <c r="D44">
        <v>50</v>
      </c>
      <c r="E44" t="s">
        <v>410</v>
      </c>
      <c r="F44" t="str">
        <f>IF(G44=A,"Basic", IF(G44=D,"Standard", IF(G44=B,"Premium","Not Paid")))</f>
        <v>Basic</v>
      </c>
      <c r="G44" s="3" t="s">
        <v>411</v>
      </c>
      <c r="H44" t="str" cm="1">
        <f t="array" ref="H44">_xlfn.IFS(D44&gt;50,"Inactive",D44&lt;=50,"Active")</f>
        <v>Active</v>
      </c>
      <c r="I44" t="s">
        <v>414</v>
      </c>
    </row>
    <row r="45" spans="1:9" x14ac:dyDescent="0.3">
      <c r="A45" t="s">
        <v>61</v>
      </c>
      <c r="B45" s="2">
        <v>45310</v>
      </c>
      <c r="C45" t="s">
        <v>260</v>
      </c>
      <c r="D45">
        <v>34</v>
      </c>
      <c r="E45" t="s">
        <v>410</v>
      </c>
      <c r="F45" t="str">
        <f>IF(G45=A,"Basic", IF(G45=D,"Standard", IF(G45=B,"Premium","Not Paid")))</f>
        <v>Premium</v>
      </c>
      <c r="G45" s="3" t="s">
        <v>412</v>
      </c>
      <c r="H45" t="str" cm="1">
        <f t="array" ref="H45">_xlfn.IFS(D45&gt;50,"Inactive",D45&lt;=50,"Active")</f>
        <v>Active</v>
      </c>
      <c r="I45" t="s">
        <v>414</v>
      </c>
    </row>
    <row r="46" spans="1:9" x14ac:dyDescent="0.3">
      <c r="A46" t="s">
        <v>62</v>
      </c>
      <c r="B46" s="2">
        <v>45853</v>
      </c>
      <c r="C46" t="s">
        <v>261</v>
      </c>
      <c r="D46">
        <v>62</v>
      </c>
      <c r="E46" t="s">
        <v>409</v>
      </c>
      <c r="F46" t="str">
        <f>IF(G46=A,"Basic", IF(G46=D,"Standard", IF(G46=B,"Premium","Not Paid")))</f>
        <v>Standard</v>
      </c>
      <c r="G46" s="3" t="s">
        <v>413</v>
      </c>
      <c r="H46" t="str" cm="1">
        <f t="array" ref="H46">_xlfn.IFS(D46&gt;50,"Inactive",D46&lt;=50,"Active")</f>
        <v>Inactive</v>
      </c>
      <c r="I46" t="s">
        <v>414</v>
      </c>
    </row>
    <row r="47" spans="1:9" x14ac:dyDescent="0.3">
      <c r="A47" t="s">
        <v>63</v>
      </c>
      <c r="B47" s="2">
        <v>46001</v>
      </c>
      <c r="C47" t="s">
        <v>262</v>
      </c>
      <c r="D47">
        <v>62</v>
      </c>
      <c r="E47" t="s">
        <v>409</v>
      </c>
      <c r="F47" t="str">
        <f>IF(G47=A,"Basic", IF(G47=D,"Standard", IF(G47=B,"Premium","Not Paid")))</f>
        <v>Basic</v>
      </c>
      <c r="G47" s="3" t="s">
        <v>411</v>
      </c>
      <c r="H47" t="str" cm="1">
        <f t="array" ref="H47">_xlfn.IFS(D47&gt;50,"Inactive",D47&lt;=50,"Active")</f>
        <v>Inactive</v>
      </c>
      <c r="I47" t="s">
        <v>414</v>
      </c>
    </row>
    <row r="48" spans="1:9" x14ac:dyDescent="0.3">
      <c r="A48" t="s">
        <v>64</v>
      </c>
      <c r="B48" s="2">
        <v>45622</v>
      </c>
      <c r="C48" t="s">
        <v>263</v>
      </c>
      <c r="D48">
        <v>43</v>
      </c>
      <c r="E48" t="s">
        <v>410</v>
      </c>
      <c r="F48" t="str">
        <f>IF(G48=A,"Basic", IF(G48=D,"Standard", IF(G48=B,"Premium","Not Paid")))</f>
        <v>Premium</v>
      </c>
      <c r="G48" s="3" t="s">
        <v>412</v>
      </c>
      <c r="H48" t="str" cm="1">
        <f t="array" ref="H48">_xlfn.IFS(D48&gt;50,"Inactive",D48&lt;=50,"Active")</f>
        <v>Active</v>
      </c>
      <c r="I48" t="s">
        <v>414</v>
      </c>
    </row>
    <row r="49" spans="1:9" x14ac:dyDescent="0.3">
      <c r="A49" t="s">
        <v>65</v>
      </c>
      <c r="B49" s="2">
        <v>45742</v>
      </c>
      <c r="C49" t="s">
        <v>264</v>
      </c>
      <c r="D49">
        <v>58</v>
      </c>
      <c r="E49" t="s">
        <v>410</v>
      </c>
      <c r="F49" t="str">
        <f>IF(G49=A,"Basic", IF(G49=D,"Standard", IF(G49=B,"Premium","Not Paid")))</f>
        <v>Standard</v>
      </c>
      <c r="G49" s="3" t="s">
        <v>413</v>
      </c>
      <c r="H49" t="str" cm="1">
        <f t="array" ref="H49">_xlfn.IFS(D49&gt;50,"Inactive",D49&lt;=50,"Active")</f>
        <v>Inactive</v>
      </c>
      <c r="I49" t="s">
        <v>414</v>
      </c>
    </row>
    <row r="50" spans="1:9" x14ac:dyDescent="0.3">
      <c r="A50" t="s">
        <v>66</v>
      </c>
      <c r="B50" s="2">
        <v>45750</v>
      </c>
      <c r="C50" t="s">
        <v>265</v>
      </c>
      <c r="D50">
        <v>23</v>
      </c>
      <c r="E50" t="s">
        <v>409</v>
      </c>
      <c r="F50" t="str">
        <f>IF(G50=A,"Basic", IF(G50=D,"Standard", IF(G50=B,"Premium","Not Paid")))</f>
        <v>Basic</v>
      </c>
      <c r="G50" s="3" t="s">
        <v>411</v>
      </c>
      <c r="H50" t="str" cm="1">
        <f t="array" ref="H50">_xlfn.IFS(D50&gt;50,"Inactive",D50&lt;=50,"Active")</f>
        <v>Active</v>
      </c>
      <c r="I50" t="s">
        <v>414</v>
      </c>
    </row>
    <row r="51" spans="1:9" x14ac:dyDescent="0.3">
      <c r="A51" t="s">
        <v>67</v>
      </c>
      <c r="B51" s="2">
        <v>45521</v>
      </c>
      <c r="C51" t="s">
        <v>266</v>
      </c>
      <c r="D51">
        <v>54</v>
      </c>
      <c r="E51" t="s">
        <v>409</v>
      </c>
      <c r="F51" t="str">
        <f>IF(G51=A,"Basic", IF(G51=D,"Standard", IF(G51=B,"Premium","Not Paid")))</f>
        <v>Premium</v>
      </c>
      <c r="G51" s="3" t="s">
        <v>412</v>
      </c>
      <c r="H51" t="str" cm="1">
        <f t="array" ref="H51">_xlfn.IFS(D51&gt;50,"Inactive",D51&lt;=50,"Active")</f>
        <v>Inactive</v>
      </c>
      <c r="I51" t="s">
        <v>414</v>
      </c>
    </row>
    <row r="52" spans="1:9" x14ac:dyDescent="0.3">
      <c r="A52" t="s">
        <v>68</v>
      </c>
      <c r="B52" s="2">
        <v>45377</v>
      </c>
      <c r="C52" t="s">
        <v>267</v>
      </c>
      <c r="D52">
        <v>56</v>
      </c>
      <c r="E52" t="s">
        <v>410</v>
      </c>
      <c r="F52" t="str">
        <f>IF(G52=A,"Basic", IF(G52=D,"Standard", IF(G52=B,"Premium","Not Paid")))</f>
        <v>Standard</v>
      </c>
      <c r="G52" s="3" t="s">
        <v>413</v>
      </c>
      <c r="H52" t="str" cm="1">
        <f t="array" ref="H52">_xlfn.IFS(D52&gt;50,"Inactive",D52&lt;=50,"Active")</f>
        <v>Inactive</v>
      </c>
      <c r="I52" t="s">
        <v>414</v>
      </c>
    </row>
    <row r="53" spans="1:9" x14ac:dyDescent="0.3">
      <c r="A53" t="s">
        <v>69</v>
      </c>
      <c r="B53" s="2">
        <v>45546</v>
      </c>
      <c r="C53" t="s">
        <v>268</v>
      </c>
      <c r="D53">
        <v>55</v>
      </c>
      <c r="E53" t="s">
        <v>410</v>
      </c>
      <c r="F53" t="str">
        <f>IF(G53=A,"Basic", IF(G53=D,"Standard", IF(G53=B,"Premium","Not Paid")))</f>
        <v>Basic</v>
      </c>
      <c r="G53" s="3" t="s">
        <v>411</v>
      </c>
      <c r="H53" t="str" cm="1">
        <f t="array" ref="H53">_xlfn.IFS(D53&gt;50,"Inactive",D53&lt;=50,"Active")</f>
        <v>Inactive</v>
      </c>
      <c r="I53" t="s">
        <v>414</v>
      </c>
    </row>
    <row r="54" spans="1:9" x14ac:dyDescent="0.3">
      <c r="A54" t="s">
        <v>70</v>
      </c>
      <c r="B54" s="2">
        <v>45542</v>
      </c>
      <c r="C54" t="s">
        <v>269</v>
      </c>
      <c r="D54">
        <v>27</v>
      </c>
      <c r="E54" t="s">
        <v>409</v>
      </c>
      <c r="F54" t="str">
        <f>IF(G54=A,"Basic", IF(G54=D,"Standard", IF(G54=B,"Premium","Not Paid")))</f>
        <v>Premium</v>
      </c>
      <c r="G54" s="3" t="s">
        <v>412</v>
      </c>
      <c r="H54" t="str" cm="1">
        <f t="array" ref="H54">_xlfn.IFS(D54&gt;50,"Inactive",D54&lt;=50,"Active")</f>
        <v>Active</v>
      </c>
      <c r="I54" t="s">
        <v>414</v>
      </c>
    </row>
    <row r="55" spans="1:9" x14ac:dyDescent="0.3">
      <c r="A55" t="s">
        <v>71</v>
      </c>
      <c r="B55" s="2">
        <v>45741</v>
      </c>
      <c r="C55" t="s">
        <v>270</v>
      </c>
      <c r="D55">
        <v>40</v>
      </c>
      <c r="E55" t="s">
        <v>409</v>
      </c>
      <c r="F55" t="str">
        <f>IF(G55=A,"Basic", IF(G55=D,"Standard", IF(G55=B,"Premium","Not Paid")))</f>
        <v>Standard</v>
      </c>
      <c r="G55" s="3" t="s">
        <v>413</v>
      </c>
      <c r="H55" t="str" cm="1">
        <f t="array" ref="H55">_xlfn.IFS(D55&gt;50,"Inactive",D55&lt;=50,"Active")</f>
        <v>Active</v>
      </c>
      <c r="I55" t="s">
        <v>414</v>
      </c>
    </row>
    <row r="56" spans="1:9" x14ac:dyDescent="0.3">
      <c r="A56" t="s">
        <v>72</v>
      </c>
      <c r="B56" s="2">
        <v>45401</v>
      </c>
      <c r="C56" t="s">
        <v>271</v>
      </c>
      <c r="D56">
        <v>58</v>
      </c>
      <c r="E56" t="s">
        <v>410</v>
      </c>
      <c r="F56" t="str">
        <f>IF(G56=A,"Basic", IF(G56=D,"Standard", IF(G56=B,"Premium","Not Paid")))</f>
        <v>Basic</v>
      </c>
      <c r="G56" s="3" t="s">
        <v>411</v>
      </c>
      <c r="H56" t="str" cm="1">
        <f t="array" ref="H56">_xlfn.IFS(D56&gt;50,"Inactive",D56&lt;=50,"Active")</f>
        <v>Inactive</v>
      </c>
      <c r="I56" t="s">
        <v>414</v>
      </c>
    </row>
    <row r="57" spans="1:9" x14ac:dyDescent="0.3">
      <c r="A57" t="s">
        <v>73</v>
      </c>
      <c r="B57" s="2">
        <v>45834</v>
      </c>
      <c r="C57" t="s">
        <v>272</v>
      </c>
      <c r="D57">
        <v>43</v>
      </c>
      <c r="E57" t="s">
        <v>410</v>
      </c>
      <c r="F57" t="str">
        <f>IF(G57=A,"Basic", IF(G57=D,"Standard", IF(G57=B,"Premium","Not Paid")))</f>
        <v>Premium</v>
      </c>
      <c r="G57" s="3" t="s">
        <v>412</v>
      </c>
      <c r="H57" t="str" cm="1">
        <f t="array" ref="H57">_xlfn.IFS(D57&gt;50,"Inactive",D57&lt;=50,"Active")</f>
        <v>Active</v>
      </c>
      <c r="I57" t="s">
        <v>414</v>
      </c>
    </row>
    <row r="58" spans="1:9" x14ac:dyDescent="0.3">
      <c r="A58" t="s">
        <v>74</v>
      </c>
      <c r="B58" s="2">
        <v>45517</v>
      </c>
      <c r="C58" t="s">
        <v>273</v>
      </c>
      <c r="D58">
        <v>42</v>
      </c>
      <c r="E58" t="s">
        <v>409</v>
      </c>
      <c r="F58" t="str">
        <f>IF(G58=A,"Basic", IF(G58=D,"Standard", IF(G58=B,"Premium","Not Paid")))</f>
        <v>Standard</v>
      </c>
      <c r="G58" s="3" t="s">
        <v>413</v>
      </c>
      <c r="H58" t="str" cm="1">
        <f t="array" ref="H58">_xlfn.IFS(D58&gt;50,"Inactive",D58&lt;=50,"Active")</f>
        <v>Active</v>
      </c>
      <c r="I58" t="s">
        <v>414</v>
      </c>
    </row>
    <row r="59" spans="1:9" x14ac:dyDescent="0.3">
      <c r="A59" t="s">
        <v>75</v>
      </c>
      <c r="B59" s="2">
        <v>46014</v>
      </c>
      <c r="C59" t="s">
        <v>274</v>
      </c>
      <c r="D59">
        <v>55</v>
      </c>
      <c r="E59" t="s">
        <v>409</v>
      </c>
      <c r="F59" t="str">
        <f>IF(G59=A,"Basic", IF(G59=D,"Standard", IF(G59=B,"Premium","Not Paid")))</f>
        <v>Basic</v>
      </c>
      <c r="G59" s="3" t="s">
        <v>411</v>
      </c>
      <c r="H59" t="str" cm="1">
        <f t="array" ref="H59">_xlfn.IFS(D59&gt;50,"Inactive",D59&lt;=50,"Active")</f>
        <v>Inactive</v>
      </c>
      <c r="I59" t="s">
        <v>414</v>
      </c>
    </row>
    <row r="60" spans="1:9" x14ac:dyDescent="0.3">
      <c r="A60" t="s">
        <v>76</v>
      </c>
      <c r="B60" s="2">
        <v>45329</v>
      </c>
      <c r="C60" t="s">
        <v>275</v>
      </c>
      <c r="D60">
        <v>45</v>
      </c>
      <c r="E60" t="s">
        <v>410</v>
      </c>
      <c r="F60" t="str">
        <f>IF(G60=A,"Basic", IF(G60=D,"Standard", IF(G60=B,"Premium","Not Paid")))</f>
        <v>Premium</v>
      </c>
      <c r="G60" s="3" t="s">
        <v>412</v>
      </c>
      <c r="H60" t="str" cm="1">
        <f t="array" ref="H60">_xlfn.IFS(D60&gt;50,"Inactive",D60&lt;=50,"Active")</f>
        <v>Active</v>
      </c>
      <c r="I60" t="s">
        <v>414</v>
      </c>
    </row>
    <row r="61" spans="1:9" x14ac:dyDescent="0.3">
      <c r="A61" t="s">
        <v>77</v>
      </c>
      <c r="B61" s="2">
        <v>45438</v>
      </c>
      <c r="C61" t="s">
        <v>276</v>
      </c>
      <c r="D61">
        <v>40</v>
      </c>
      <c r="E61" t="s">
        <v>410</v>
      </c>
      <c r="F61" t="str">
        <f>IF(G61=A,"Basic", IF(G61=D,"Standard", IF(G61=B,"Premium","Not Paid")))</f>
        <v>Standard</v>
      </c>
      <c r="G61" s="3" t="s">
        <v>413</v>
      </c>
      <c r="H61" t="str" cm="1">
        <f t="array" ref="H61">_xlfn.IFS(D61&gt;50,"Inactive",D61&lt;=50,"Active")</f>
        <v>Active</v>
      </c>
      <c r="I61" t="s">
        <v>414</v>
      </c>
    </row>
    <row r="62" spans="1:9" x14ac:dyDescent="0.3">
      <c r="A62" t="s">
        <v>78</v>
      </c>
      <c r="B62" s="2">
        <v>45765</v>
      </c>
      <c r="C62" t="s">
        <v>277</v>
      </c>
      <c r="D62">
        <v>54</v>
      </c>
      <c r="E62" t="s">
        <v>409</v>
      </c>
      <c r="F62" t="str">
        <f>IF(G62=A,"Basic", IF(G62=D,"Standard", IF(G62=B,"Premium","Not Paid")))</f>
        <v>Basic</v>
      </c>
      <c r="G62" s="3" t="s">
        <v>411</v>
      </c>
      <c r="H62" t="str" cm="1">
        <f t="array" ref="H62">_xlfn.IFS(D62&gt;50,"Inactive",D62&lt;=50,"Active")</f>
        <v>Inactive</v>
      </c>
      <c r="I62" t="s">
        <v>414</v>
      </c>
    </row>
    <row r="63" spans="1:9" x14ac:dyDescent="0.3">
      <c r="A63" t="s">
        <v>79</v>
      </c>
      <c r="B63" s="2">
        <v>45433</v>
      </c>
      <c r="C63" t="s">
        <v>278</v>
      </c>
      <c r="D63">
        <v>31</v>
      </c>
      <c r="E63" t="s">
        <v>409</v>
      </c>
      <c r="F63" t="str">
        <f>IF(G63=A,"Basic", IF(G63=D,"Standard", IF(G63=B,"Premium","Not Paid")))</f>
        <v>Premium</v>
      </c>
      <c r="G63" s="3" t="s">
        <v>412</v>
      </c>
      <c r="H63" t="str" cm="1">
        <f t="array" ref="H63">_xlfn.IFS(D63&gt;50,"Inactive",D63&lt;=50,"Active")</f>
        <v>Active</v>
      </c>
      <c r="I63" t="s">
        <v>414</v>
      </c>
    </row>
    <row r="64" spans="1:9" x14ac:dyDescent="0.3">
      <c r="A64" t="s">
        <v>80</v>
      </c>
      <c r="B64" s="2">
        <v>45827</v>
      </c>
      <c r="C64" t="s">
        <v>279</v>
      </c>
      <c r="D64">
        <v>34</v>
      </c>
      <c r="E64" t="s">
        <v>410</v>
      </c>
      <c r="F64" t="str">
        <f>IF(G64=A,"Basic", IF(G64=D,"Standard", IF(G64=B,"Premium","Not Paid")))</f>
        <v>Standard</v>
      </c>
      <c r="G64" s="3" t="s">
        <v>413</v>
      </c>
      <c r="H64" t="str" cm="1">
        <f t="array" ref="H64">_xlfn.IFS(D64&gt;50,"Inactive",D64&lt;=50,"Active")</f>
        <v>Active</v>
      </c>
      <c r="I64" t="s">
        <v>414</v>
      </c>
    </row>
    <row r="65" spans="1:9" x14ac:dyDescent="0.3">
      <c r="A65" t="s">
        <v>81</v>
      </c>
      <c r="B65" s="2">
        <v>45616</v>
      </c>
      <c r="C65" t="s">
        <v>280</v>
      </c>
      <c r="D65">
        <v>21</v>
      </c>
      <c r="E65" t="s">
        <v>410</v>
      </c>
      <c r="F65" t="str">
        <f>IF(G65=A,"Basic", IF(G65=D,"Standard", IF(G65=B,"Premium","Not Paid")))</f>
        <v>Basic</v>
      </c>
      <c r="G65" s="3" t="s">
        <v>411</v>
      </c>
      <c r="H65" t="str" cm="1">
        <f t="array" ref="H65">_xlfn.IFS(D65&gt;50,"Inactive",D65&lt;=50,"Active")</f>
        <v>Active</v>
      </c>
      <c r="I65" t="s">
        <v>414</v>
      </c>
    </row>
    <row r="66" spans="1:9" x14ac:dyDescent="0.3">
      <c r="A66" t="s">
        <v>82</v>
      </c>
      <c r="B66" s="2">
        <v>45411</v>
      </c>
      <c r="C66" t="s">
        <v>281</v>
      </c>
      <c r="D66">
        <v>42</v>
      </c>
      <c r="E66" t="s">
        <v>409</v>
      </c>
      <c r="F66" t="str">
        <f>IF(G66=A,"Basic", IF(G66=D,"Standard", IF(G66=B,"Premium","Not Paid")))</f>
        <v>Premium</v>
      </c>
      <c r="G66" s="3" t="s">
        <v>412</v>
      </c>
      <c r="H66" t="str" cm="1">
        <f t="array" ref="H66">_xlfn.IFS(D66&gt;50,"Inactive",D66&lt;=50,"Active")</f>
        <v>Active</v>
      </c>
      <c r="I66" t="s">
        <v>414</v>
      </c>
    </row>
    <row r="67" spans="1:9" x14ac:dyDescent="0.3">
      <c r="A67" t="s">
        <v>83</v>
      </c>
      <c r="B67" s="2">
        <v>45699</v>
      </c>
      <c r="C67" t="s">
        <v>282</v>
      </c>
      <c r="D67">
        <v>26</v>
      </c>
      <c r="E67" t="s">
        <v>409</v>
      </c>
      <c r="F67" t="str">
        <f>IF(G67=A,"Basic", IF(G67=D,"Standard", IF(G67=B,"Premium","Not Paid")))</f>
        <v>Standard</v>
      </c>
      <c r="G67" s="3" t="s">
        <v>413</v>
      </c>
      <c r="H67" t="str" cm="1">
        <f t="array" ref="H67">_xlfn.IFS(D67&gt;50,"Inactive",D67&lt;=50,"Active")</f>
        <v>Active</v>
      </c>
      <c r="I67" t="s">
        <v>414</v>
      </c>
    </row>
    <row r="68" spans="1:9" x14ac:dyDescent="0.3">
      <c r="A68" t="s">
        <v>84</v>
      </c>
      <c r="B68" s="2">
        <v>45387</v>
      </c>
      <c r="C68" t="s">
        <v>283</v>
      </c>
      <c r="D68">
        <v>53</v>
      </c>
      <c r="E68" t="s">
        <v>410</v>
      </c>
      <c r="F68" t="str">
        <f>IF(G68=A,"Basic", IF(G68=D,"Standard", IF(G68=B,"Premium","Not Paid")))</f>
        <v>Basic</v>
      </c>
      <c r="G68" s="3" t="s">
        <v>411</v>
      </c>
      <c r="H68" t="str" cm="1">
        <f t="array" ref="H68">_xlfn.IFS(D68&gt;50,"Inactive",D68&lt;=50,"Active")</f>
        <v>Inactive</v>
      </c>
      <c r="I68" t="s">
        <v>414</v>
      </c>
    </row>
    <row r="69" spans="1:9" x14ac:dyDescent="0.3">
      <c r="A69" t="s">
        <v>85</v>
      </c>
      <c r="B69" s="2">
        <v>45741</v>
      </c>
      <c r="C69" t="s">
        <v>284</v>
      </c>
      <c r="D69">
        <v>18</v>
      </c>
      <c r="E69" t="s">
        <v>410</v>
      </c>
      <c r="F69" t="str">
        <f>IF(G69=A,"Basic", IF(G69=D,"Standard", IF(G69=B,"Premium","Not Paid")))</f>
        <v>Premium</v>
      </c>
      <c r="G69" s="3" t="s">
        <v>412</v>
      </c>
      <c r="H69" t="str" cm="1">
        <f t="array" ref="H69">_xlfn.IFS(D69&gt;50,"Inactive",D69&lt;=50,"Active")</f>
        <v>Active</v>
      </c>
      <c r="I69" t="s">
        <v>414</v>
      </c>
    </row>
    <row r="70" spans="1:9" x14ac:dyDescent="0.3">
      <c r="A70" t="s">
        <v>86</v>
      </c>
      <c r="B70" s="2">
        <v>45285</v>
      </c>
      <c r="C70" t="s">
        <v>285</v>
      </c>
      <c r="D70">
        <v>27</v>
      </c>
      <c r="E70" t="s">
        <v>409</v>
      </c>
      <c r="F70" t="str">
        <f>IF(G70=A,"Basic", IF(G70=D,"Standard", IF(G70=B,"Premium","Not Paid")))</f>
        <v>Standard</v>
      </c>
      <c r="G70" s="3" t="s">
        <v>413</v>
      </c>
      <c r="H70" t="str" cm="1">
        <f t="array" ref="H70">_xlfn.IFS(D70&gt;50,"Inactive",D70&lt;=50,"Active")</f>
        <v>Active</v>
      </c>
      <c r="I70" t="s">
        <v>414</v>
      </c>
    </row>
    <row r="71" spans="1:9" x14ac:dyDescent="0.3">
      <c r="A71" t="s">
        <v>87</v>
      </c>
      <c r="B71" s="2">
        <v>45530</v>
      </c>
      <c r="C71" t="s">
        <v>286</v>
      </c>
      <c r="D71">
        <v>56</v>
      </c>
      <c r="E71" t="s">
        <v>409</v>
      </c>
      <c r="F71" t="str">
        <f>IF(G71=A,"Basic", IF(G71=D,"Standard", IF(G71=B,"Premium","Not Paid")))</f>
        <v>Basic</v>
      </c>
      <c r="G71" s="3" t="s">
        <v>411</v>
      </c>
      <c r="H71" t="str" cm="1">
        <f t="array" ref="H71">_xlfn.IFS(D71&gt;50,"Inactive",D71&lt;=50,"Active")</f>
        <v>Inactive</v>
      </c>
      <c r="I71" t="s">
        <v>414</v>
      </c>
    </row>
    <row r="72" spans="1:9" x14ac:dyDescent="0.3">
      <c r="A72" t="s">
        <v>88</v>
      </c>
      <c r="B72" s="2">
        <v>45556</v>
      </c>
      <c r="C72" t="s">
        <v>287</v>
      </c>
      <c r="D72">
        <v>38</v>
      </c>
      <c r="E72" t="s">
        <v>410</v>
      </c>
      <c r="F72" t="str">
        <f>IF(G72=A,"Basic", IF(G72=D,"Standard", IF(G72=B,"Premium","Not Paid")))</f>
        <v>Premium</v>
      </c>
      <c r="G72" s="3" t="s">
        <v>412</v>
      </c>
      <c r="H72" t="str" cm="1">
        <f t="array" ref="H72">_xlfn.IFS(D72&gt;50,"Inactive",D72&lt;=50,"Active")</f>
        <v>Active</v>
      </c>
      <c r="I72" t="s">
        <v>414</v>
      </c>
    </row>
    <row r="73" spans="1:9" x14ac:dyDescent="0.3">
      <c r="A73" t="s">
        <v>89</v>
      </c>
      <c r="B73" s="2">
        <v>45562</v>
      </c>
      <c r="C73" t="s">
        <v>288</v>
      </c>
      <c r="D73">
        <v>53</v>
      </c>
      <c r="E73" t="s">
        <v>410</v>
      </c>
      <c r="F73" t="str">
        <f>IF(G73=A,"Basic", IF(G73=D,"Standard", IF(G73=B,"Premium","Not Paid")))</f>
        <v>Standard</v>
      </c>
      <c r="G73" s="3" t="s">
        <v>413</v>
      </c>
      <c r="H73" t="str" cm="1">
        <f t="array" ref="H73">_xlfn.IFS(D73&gt;50,"Inactive",D73&lt;=50,"Active")</f>
        <v>Inactive</v>
      </c>
      <c r="I73" t="s">
        <v>414</v>
      </c>
    </row>
    <row r="74" spans="1:9" x14ac:dyDescent="0.3">
      <c r="A74" t="s">
        <v>90</v>
      </c>
      <c r="B74" s="2">
        <v>45870</v>
      </c>
      <c r="C74" t="s">
        <v>289</v>
      </c>
      <c r="D74">
        <v>39</v>
      </c>
      <c r="E74" t="s">
        <v>409</v>
      </c>
      <c r="F74" t="str">
        <f>IF(G74=A,"Basic", IF(G74=D,"Standard", IF(G74=B,"Premium","Not Paid")))</f>
        <v>Basic</v>
      </c>
      <c r="G74" s="3" t="s">
        <v>411</v>
      </c>
      <c r="H74" t="str" cm="1">
        <f t="array" ref="H74">_xlfn.IFS(D74&gt;50,"Inactive",D74&lt;=50,"Active")</f>
        <v>Active</v>
      </c>
      <c r="I74" t="s">
        <v>414</v>
      </c>
    </row>
    <row r="75" spans="1:9" x14ac:dyDescent="0.3">
      <c r="A75" t="s">
        <v>91</v>
      </c>
      <c r="B75" s="2">
        <v>45715</v>
      </c>
      <c r="C75" t="s">
        <v>290</v>
      </c>
      <c r="D75">
        <v>35</v>
      </c>
      <c r="E75" t="s">
        <v>409</v>
      </c>
      <c r="F75" t="str">
        <f>IF(G75=A,"Basic", IF(G75=D,"Standard", IF(G75=B,"Premium","Not Paid")))</f>
        <v>Premium</v>
      </c>
      <c r="G75" s="3" t="s">
        <v>412</v>
      </c>
      <c r="H75" t="str" cm="1">
        <f t="array" ref="H75">_xlfn.IFS(D75&gt;50,"Inactive",D75&lt;=50,"Active")</f>
        <v>Active</v>
      </c>
      <c r="I75" t="s">
        <v>414</v>
      </c>
    </row>
    <row r="76" spans="1:9" x14ac:dyDescent="0.3">
      <c r="A76" t="s">
        <v>92</v>
      </c>
      <c r="B76" s="2">
        <v>45421</v>
      </c>
      <c r="C76" t="s">
        <v>291</v>
      </c>
      <c r="D76">
        <v>26</v>
      </c>
      <c r="E76" t="s">
        <v>410</v>
      </c>
      <c r="F76" t="str">
        <f>IF(G76=A,"Basic", IF(G76=D,"Standard", IF(G76=B,"Premium","Not Paid")))</f>
        <v>Standard</v>
      </c>
      <c r="G76" s="3" t="s">
        <v>413</v>
      </c>
      <c r="H76" t="str" cm="1">
        <f t="array" ref="H76">_xlfn.IFS(D76&gt;50,"Inactive",D76&lt;=50,"Active")</f>
        <v>Active</v>
      </c>
      <c r="I76" t="s">
        <v>414</v>
      </c>
    </row>
    <row r="77" spans="1:9" x14ac:dyDescent="0.3">
      <c r="A77" t="s">
        <v>93</v>
      </c>
      <c r="B77" s="2">
        <v>45383</v>
      </c>
      <c r="C77" t="s">
        <v>292</v>
      </c>
      <c r="D77">
        <v>48</v>
      </c>
      <c r="E77" t="s">
        <v>410</v>
      </c>
      <c r="F77" t="str">
        <f>IF(G77=A,"Basic", IF(G77=D,"Standard", IF(G77=B,"Premium","Not Paid")))</f>
        <v>Basic</v>
      </c>
      <c r="G77" s="3" t="s">
        <v>411</v>
      </c>
      <c r="H77" t="str" cm="1">
        <f t="array" ref="H77">_xlfn.IFS(D77&gt;50,"Inactive",D77&lt;=50,"Active")</f>
        <v>Active</v>
      </c>
      <c r="I77" t="s">
        <v>414</v>
      </c>
    </row>
    <row r="78" spans="1:9" x14ac:dyDescent="0.3">
      <c r="A78" t="s">
        <v>94</v>
      </c>
      <c r="B78" s="2">
        <v>45960</v>
      </c>
      <c r="C78" t="s">
        <v>293</v>
      </c>
      <c r="D78">
        <v>49</v>
      </c>
      <c r="E78" t="s">
        <v>409</v>
      </c>
      <c r="F78" t="str">
        <f>IF(G78=A,"Basic", IF(G78=D,"Standard", IF(G78=B,"Premium","Not Paid")))</f>
        <v>Premium</v>
      </c>
      <c r="G78" s="3" t="s">
        <v>412</v>
      </c>
      <c r="H78" t="str" cm="1">
        <f t="array" ref="H78">_xlfn.IFS(D78&gt;50,"Inactive",D78&lt;=50,"Active")</f>
        <v>Active</v>
      </c>
      <c r="I78" t="s">
        <v>414</v>
      </c>
    </row>
    <row r="79" spans="1:9" x14ac:dyDescent="0.3">
      <c r="A79" t="s">
        <v>95</v>
      </c>
      <c r="B79" s="2">
        <v>45832</v>
      </c>
      <c r="C79" t="s">
        <v>294</v>
      </c>
      <c r="D79">
        <v>22</v>
      </c>
      <c r="E79" t="s">
        <v>409</v>
      </c>
      <c r="F79" t="str">
        <f>IF(G79=A,"Basic", IF(G79=D,"Standard", IF(G79=B,"Premium","Not Paid")))</f>
        <v>Standard</v>
      </c>
      <c r="G79" s="3" t="s">
        <v>413</v>
      </c>
      <c r="H79" t="str" cm="1">
        <f t="array" ref="H79">_xlfn.IFS(D79&gt;50,"Inactive",D79&lt;=50,"Active")</f>
        <v>Active</v>
      </c>
      <c r="I79" t="s">
        <v>414</v>
      </c>
    </row>
    <row r="80" spans="1:9" x14ac:dyDescent="0.3">
      <c r="A80" t="s">
        <v>96</v>
      </c>
      <c r="B80" s="2">
        <v>45741</v>
      </c>
      <c r="C80" t="s">
        <v>295</v>
      </c>
      <c r="D80">
        <v>22</v>
      </c>
      <c r="E80" t="s">
        <v>410</v>
      </c>
      <c r="F80" t="str">
        <f>IF(G80=A,"Basic", IF(G80=D,"Standard", IF(G80=B,"Premium","Not Paid")))</f>
        <v>Basic</v>
      </c>
      <c r="G80" s="3" t="s">
        <v>411</v>
      </c>
      <c r="H80" t="str" cm="1">
        <f t="array" ref="H80">_xlfn.IFS(D80&gt;50,"Inactive",D80&lt;=50,"Active")</f>
        <v>Active</v>
      </c>
      <c r="I80" t="s">
        <v>414</v>
      </c>
    </row>
    <row r="81" spans="1:9" x14ac:dyDescent="0.3">
      <c r="A81" t="s">
        <v>97</v>
      </c>
      <c r="B81" s="2">
        <v>45796</v>
      </c>
      <c r="C81" t="s">
        <v>296</v>
      </c>
      <c r="D81">
        <v>39</v>
      </c>
      <c r="E81" t="s">
        <v>410</v>
      </c>
      <c r="F81" t="str">
        <f>IF(G81=A,"Basic", IF(G81=D,"Standard", IF(G81=B,"Premium","Not Paid")))</f>
        <v>Premium</v>
      </c>
      <c r="G81" s="3" t="s">
        <v>412</v>
      </c>
      <c r="H81" t="str" cm="1">
        <f t="array" ref="H81">_xlfn.IFS(D81&gt;50,"Inactive",D81&lt;=50,"Active")</f>
        <v>Active</v>
      </c>
      <c r="I81" t="s">
        <v>414</v>
      </c>
    </row>
    <row r="82" spans="1:9" x14ac:dyDescent="0.3">
      <c r="A82" t="s">
        <v>98</v>
      </c>
      <c r="B82" s="2">
        <v>45407</v>
      </c>
      <c r="C82" t="s">
        <v>297</v>
      </c>
      <c r="D82">
        <v>27</v>
      </c>
      <c r="E82" t="s">
        <v>409</v>
      </c>
      <c r="F82" t="str">
        <f>IF(G82=A,"Basic", IF(G82=D,"Standard", IF(G82=B,"Premium","Not Paid")))</f>
        <v>Standard</v>
      </c>
      <c r="G82" s="3" t="s">
        <v>413</v>
      </c>
      <c r="H82" t="str" cm="1">
        <f t="array" ref="H82">_xlfn.IFS(D82&gt;50,"Inactive",D82&lt;=50,"Active")</f>
        <v>Active</v>
      </c>
      <c r="I82" t="s">
        <v>414</v>
      </c>
    </row>
    <row r="83" spans="1:9" x14ac:dyDescent="0.3">
      <c r="A83" t="s">
        <v>99</v>
      </c>
      <c r="B83" s="2">
        <v>45791</v>
      </c>
      <c r="C83" t="s">
        <v>298</v>
      </c>
      <c r="D83">
        <v>57</v>
      </c>
      <c r="E83" t="s">
        <v>409</v>
      </c>
      <c r="F83" t="str">
        <f>IF(G83=A,"Basic", IF(G83=D,"Standard", IF(G83=B,"Premium","Not Paid")))</f>
        <v>Basic</v>
      </c>
      <c r="G83" s="3" t="s">
        <v>411</v>
      </c>
      <c r="H83" t="str" cm="1">
        <f t="array" ref="H83">_xlfn.IFS(D83&gt;50,"Inactive",D83&lt;=50,"Active")</f>
        <v>Inactive</v>
      </c>
      <c r="I83" t="s">
        <v>414</v>
      </c>
    </row>
    <row r="84" spans="1:9" x14ac:dyDescent="0.3">
      <c r="A84" t="s">
        <v>100</v>
      </c>
      <c r="B84" s="2">
        <v>45906</v>
      </c>
      <c r="C84" t="s">
        <v>299</v>
      </c>
      <c r="D84">
        <v>53</v>
      </c>
      <c r="E84" t="s">
        <v>410</v>
      </c>
      <c r="F84" t="str">
        <f>IF(G84=A,"Basic", IF(G84=D,"Standard", IF(G84=B,"Premium","Not Paid")))</f>
        <v>Premium</v>
      </c>
      <c r="G84" s="3" t="s">
        <v>412</v>
      </c>
      <c r="H84" t="str" cm="1">
        <f t="array" ref="H84">_xlfn.IFS(D84&gt;50,"Inactive",D84&lt;=50,"Active")</f>
        <v>Inactive</v>
      </c>
      <c r="I84" t="s">
        <v>414</v>
      </c>
    </row>
    <row r="85" spans="1:9" x14ac:dyDescent="0.3">
      <c r="A85" t="s">
        <v>101</v>
      </c>
      <c r="B85" s="2">
        <v>45568</v>
      </c>
      <c r="C85" t="s">
        <v>243</v>
      </c>
      <c r="D85">
        <v>19</v>
      </c>
      <c r="E85" t="s">
        <v>410</v>
      </c>
      <c r="F85" t="str">
        <f>IF(G85=A,"Basic", IF(G85=D,"Standard", IF(G85=B,"Premium","Not Paid")))</f>
        <v>Standard</v>
      </c>
      <c r="G85" s="3" t="s">
        <v>413</v>
      </c>
      <c r="H85" t="str" cm="1">
        <f t="array" ref="H85">_xlfn.IFS(D85&gt;50,"Inactive",D85&lt;=50,"Active")</f>
        <v>Active</v>
      </c>
      <c r="I85" t="s">
        <v>414</v>
      </c>
    </row>
    <row r="86" spans="1:9" x14ac:dyDescent="0.3">
      <c r="A86" t="s">
        <v>102</v>
      </c>
      <c r="B86" s="2">
        <v>45933</v>
      </c>
      <c r="C86" t="s">
        <v>300</v>
      </c>
      <c r="D86">
        <v>45</v>
      </c>
      <c r="E86" t="s">
        <v>409</v>
      </c>
      <c r="F86" t="str">
        <f>IF(G86=A,"Basic", IF(G86=D,"Standard", IF(G86=B,"Premium","Not Paid")))</f>
        <v>Basic</v>
      </c>
      <c r="G86" s="3" t="s">
        <v>411</v>
      </c>
      <c r="H86" t="str" cm="1">
        <f t="array" ref="H86">_xlfn.IFS(D86&gt;50,"Inactive",D86&lt;=50,"Active")</f>
        <v>Active</v>
      </c>
      <c r="I86" t="s">
        <v>414</v>
      </c>
    </row>
    <row r="87" spans="1:9" x14ac:dyDescent="0.3">
      <c r="A87" t="s">
        <v>103</v>
      </c>
      <c r="B87" s="2">
        <v>45951</v>
      </c>
      <c r="C87" t="s">
        <v>301</v>
      </c>
      <c r="D87">
        <v>58</v>
      </c>
      <c r="E87" t="s">
        <v>409</v>
      </c>
      <c r="F87" t="str">
        <f>IF(G87=A,"Basic", IF(G87=D,"Standard", IF(G87=B,"Premium","Not Paid")))</f>
        <v>Premium</v>
      </c>
      <c r="G87" s="3" t="s">
        <v>412</v>
      </c>
      <c r="H87" t="str" cm="1">
        <f t="array" ref="H87">_xlfn.IFS(D87&gt;50,"Inactive",D87&lt;=50,"Active")</f>
        <v>Inactive</v>
      </c>
      <c r="I87" t="s">
        <v>414</v>
      </c>
    </row>
    <row r="88" spans="1:9" x14ac:dyDescent="0.3">
      <c r="A88" t="s">
        <v>104</v>
      </c>
      <c r="B88" s="2">
        <v>45695</v>
      </c>
      <c r="C88" t="s">
        <v>302</v>
      </c>
      <c r="D88">
        <v>41</v>
      </c>
      <c r="E88" t="s">
        <v>410</v>
      </c>
      <c r="F88" t="str">
        <f>IF(G88=A,"Basic", IF(G88=D,"Standard", IF(G88=B,"Premium","Not Paid")))</f>
        <v>Standard</v>
      </c>
      <c r="G88" s="3" t="s">
        <v>413</v>
      </c>
      <c r="H88" t="str" cm="1">
        <f t="array" ref="H88">_xlfn.IFS(D88&gt;50,"Inactive",D88&lt;=50,"Active")</f>
        <v>Active</v>
      </c>
      <c r="I88" t="s">
        <v>414</v>
      </c>
    </row>
    <row r="89" spans="1:9" x14ac:dyDescent="0.3">
      <c r="A89" t="s">
        <v>105</v>
      </c>
      <c r="B89" s="2">
        <v>45638</v>
      </c>
      <c r="C89" t="s">
        <v>303</v>
      </c>
      <c r="D89">
        <v>31</v>
      </c>
      <c r="E89" t="s">
        <v>410</v>
      </c>
      <c r="F89" t="str">
        <f>IF(G89=A,"Basic", IF(G89=D,"Standard", IF(G89=B,"Premium","Not Paid")))</f>
        <v>Basic</v>
      </c>
      <c r="G89" s="3" t="s">
        <v>411</v>
      </c>
      <c r="H89" t="str" cm="1">
        <f t="array" ref="H89">_xlfn.IFS(D89&gt;50,"Inactive",D89&lt;=50,"Active")</f>
        <v>Active</v>
      </c>
      <c r="I89" t="s">
        <v>414</v>
      </c>
    </row>
    <row r="90" spans="1:9" x14ac:dyDescent="0.3">
      <c r="A90" t="s">
        <v>106</v>
      </c>
      <c r="B90" s="2">
        <v>45387</v>
      </c>
      <c r="C90" t="s">
        <v>304</v>
      </c>
      <c r="D90">
        <v>30</v>
      </c>
      <c r="E90" t="s">
        <v>409</v>
      </c>
      <c r="F90" t="str">
        <f>IF(G90=A,"Basic", IF(G90=D,"Standard", IF(G90=B,"Premium","Not Paid")))</f>
        <v>Premium</v>
      </c>
      <c r="G90" s="3" t="s">
        <v>412</v>
      </c>
      <c r="H90" t="str" cm="1">
        <f t="array" ref="H90">_xlfn.IFS(D90&gt;50,"Inactive",D90&lt;=50,"Active")</f>
        <v>Active</v>
      </c>
      <c r="I90" t="s">
        <v>414</v>
      </c>
    </row>
    <row r="91" spans="1:9" x14ac:dyDescent="0.3">
      <c r="A91" t="s">
        <v>107</v>
      </c>
      <c r="B91" s="2">
        <v>45590</v>
      </c>
      <c r="C91" t="s">
        <v>305</v>
      </c>
      <c r="D91">
        <v>50</v>
      </c>
      <c r="E91" t="s">
        <v>409</v>
      </c>
      <c r="F91" t="str">
        <f>IF(G91=A,"Basic", IF(G91=D,"Standard", IF(G91=B,"Premium","Not Paid")))</f>
        <v>Standard</v>
      </c>
      <c r="G91" s="3" t="s">
        <v>413</v>
      </c>
      <c r="H91" t="str" cm="1">
        <f t="array" ref="H91">_xlfn.IFS(D91&gt;50,"Inactive",D91&lt;=50,"Active")</f>
        <v>Active</v>
      </c>
      <c r="I91" t="s">
        <v>414</v>
      </c>
    </row>
    <row r="92" spans="1:9" x14ac:dyDescent="0.3">
      <c r="A92" t="s">
        <v>108</v>
      </c>
      <c r="B92" s="2">
        <v>45496</v>
      </c>
      <c r="C92" t="s">
        <v>306</v>
      </c>
      <c r="D92">
        <v>48</v>
      </c>
      <c r="E92" t="s">
        <v>410</v>
      </c>
      <c r="F92" t="str">
        <f>IF(G92=A,"Basic", IF(G92=D,"Standard", IF(G92=B,"Premium","Not Paid")))</f>
        <v>Basic</v>
      </c>
      <c r="G92" s="3" t="s">
        <v>411</v>
      </c>
      <c r="H92" t="str" cm="1">
        <f t="array" ref="H92">_xlfn.IFS(D92&gt;50,"Inactive",D92&lt;=50,"Active")</f>
        <v>Active</v>
      </c>
      <c r="I92" t="s">
        <v>414</v>
      </c>
    </row>
    <row r="93" spans="1:9" x14ac:dyDescent="0.3">
      <c r="A93" t="s">
        <v>109</v>
      </c>
      <c r="B93" s="2">
        <v>45496</v>
      </c>
      <c r="C93" t="s">
        <v>307</v>
      </c>
      <c r="D93">
        <v>37</v>
      </c>
      <c r="E93" t="s">
        <v>410</v>
      </c>
      <c r="F93" t="str">
        <f>IF(G93=A,"Basic", IF(G93=D,"Standard", IF(G93=B,"Premium","Not Paid")))</f>
        <v>Premium</v>
      </c>
      <c r="G93" s="3" t="s">
        <v>412</v>
      </c>
      <c r="H93" t="str" cm="1">
        <f t="array" ref="H93">_xlfn.IFS(D93&gt;50,"Inactive",D93&lt;=50,"Active")</f>
        <v>Active</v>
      </c>
      <c r="I93" t="s">
        <v>414</v>
      </c>
    </row>
    <row r="94" spans="1:9" x14ac:dyDescent="0.3">
      <c r="A94" t="s">
        <v>110</v>
      </c>
      <c r="B94" s="2">
        <v>45378</v>
      </c>
      <c r="C94" t="s">
        <v>308</v>
      </c>
      <c r="D94">
        <v>51</v>
      </c>
      <c r="E94" t="s">
        <v>409</v>
      </c>
      <c r="F94" t="str">
        <f>IF(G94=A,"Basic", IF(G94=D,"Standard", IF(G94=B,"Premium","Not Paid")))</f>
        <v>Standard</v>
      </c>
      <c r="G94" s="3" t="s">
        <v>413</v>
      </c>
      <c r="H94" t="str" cm="1">
        <f t="array" ref="H94">_xlfn.IFS(D94&gt;50,"Inactive",D94&lt;=50,"Active")</f>
        <v>Inactive</v>
      </c>
      <c r="I94" t="s">
        <v>414</v>
      </c>
    </row>
    <row r="95" spans="1:9" x14ac:dyDescent="0.3">
      <c r="A95" t="s">
        <v>111</v>
      </c>
      <c r="B95" s="2">
        <v>45299</v>
      </c>
      <c r="C95" t="s">
        <v>309</v>
      </c>
      <c r="D95">
        <v>56</v>
      </c>
      <c r="E95" t="s">
        <v>409</v>
      </c>
      <c r="F95" t="str">
        <f>IF(G95=A,"Basic", IF(G95=D,"Standard", IF(G95=B,"Premium","Not Paid")))</f>
        <v>Basic</v>
      </c>
      <c r="G95" s="3" t="s">
        <v>411</v>
      </c>
      <c r="H95" t="str" cm="1">
        <f t="array" ref="H95">_xlfn.IFS(D95&gt;50,"Inactive",D95&lt;=50,"Active")</f>
        <v>Inactive</v>
      </c>
      <c r="I95" t="s">
        <v>414</v>
      </c>
    </row>
    <row r="96" spans="1:9" x14ac:dyDescent="0.3">
      <c r="A96" t="s">
        <v>112</v>
      </c>
      <c r="B96" s="2">
        <v>45450</v>
      </c>
      <c r="C96" t="s">
        <v>310</v>
      </c>
      <c r="D96">
        <v>42</v>
      </c>
      <c r="E96" t="s">
        <v>410</v>
      </c>
      <c r="F96" t="str">
        <f>IF(G96=A,"Basic", IF(G96=D,"Standard", IF(G96=B,"Premium","Not Paid")))</f>
        <v>Premium</v>
      </c>
      <c r="G96" s="3" t="s">
        <v>412</v>
      </c>
      <c r="H96" t="str" cm="1">
        <f t="array" ref="H96">_xlfn.IFS(D96&gt;50,"Inactive",D96&lt;=50,"Active")</f>
        <v>Active</v>
      </c>
      <c r="I96" t="s">
        <v>414</v>
      </c>
    </row>
    <row r="97" spans="1:9" x14ac:dyDescent="0.3">
      <c r="A97" t="s">
        <v>113</v>
      </c>
      <c r="B97" s="2">
        <v>45350</v>
      </c>
      <c r="C97" t="s">
        <v>311</v>
      </c>
      <c r="D97">
        <v>28</v>
      </c>
      <c r="E97" t="s">
        <v>410</v>
      </c>
      <c r="F97" t="str">
        <f>IF(G97=A,"Basic", IF(G97=D,"Standard", IF(G97=B,"Premium","Not Paid")))</f>
        <v>Standard</v>
      </c>
      <c r="G97" s="3" t="s">
        <v>413</v>
      </c>
      <c r="H97" t="str" cm="1">
        <f t="array" ref="H97">_xlfn.IFS(D97&gt;50,"Inactive",D97&lt;=50,"Active")</f>
        <v>Active</v>
      </c>
      <c r="I97" t="s">
        <v>414</v>
      </c>
    </row>
    <row r="98" spans="1:9" x14ac:dyDescent="0.3">
      <c r="A98" t="s">
        <v>114</v>
      </c>
      <c r="B98" s="2">
        <v>45395</v>
      </c>
      <c r="C98" t="s">
        <v>312</v>
      </c>
      <c r="D98">
        <v>39</v>
      </c>
      <c r="E98" t="s">
        <v>409</v>
      </c>
      <c r="F98" t="str">
        <f>IF(G98=A,"Basic", IF(G98=D,"Standard", IF(G98=B,"Premium","Not Paid")))</f>
        <v>Basic</v>
      </c>
      <c r="G98" s="3" t="s">
        <v>411</v>
      </c>
      <c r="H98" t="str" cm="1">
        <f t="array" ref="H98">_xlfn.IFS(D98&gt;50,"Inactive",D98&lt;=50,"Active")</f>
        <v>Active</v>
      </c>
      <c r="I98" t="s">
        <v>414</v>
      </c>
    </row>
    <row r="99" spans="1:9" x14ac:dyDescent="0.3">
      <c r="A99" t="s">
        <v>115</v>
      </c>
      <c r="B99" s="2">
        <v>45905</v>
      </c>
      <c r="C99" t="s">
        <v>313</v>
      </c>
      <c r="D99">
        <v>19</v>
      </c>
      <c r="E99" t="s">
        <v>409</v>
      </c>
      <c r="F99" t="str">
        <f>IF(G99=A,"Basic", IF(G99=D,"Standard", IF(G99=B,"Premium","Not Paid")))</f>
        <v>Premium</v>
      </c>
      <c r="G99" s="3" t="s">
        <v>412</v>
      </c>
      <c r="H99" t="str" cm="1">
        <f t="array" ref="H99">_xlfn.IFS(D99&gt;50,"Inactive",D99&lt;=50,"Active")</f>
        <v>Active</v>
      </c>
      <c r="I99" t="s">
        <v>414</v>
      </c>
    </row>
    <row r="100" spans="1:9" x14ac:dyDescent="0.3">
      <c r="A100" t="s">
        <v>116</v>
      </c>
      <c r="B100" s="2">
        <v>45547</v>
      </c>
      <c r="C100" t="s">
        <v>314</v>
      </c>
      <c r="D100">
        <v>54</v>
      </c>
      <c r="E100" t="s">
        <v>410</v>
      </c>
      <c r="F100" t="str">
        <f>IF(G100=A,"Basic", IF(G100=D,"Standard", IF(G100=B,"Premium","Not Paid")))</f>
        <v>Standard</v>
      </c>
      <c r="G100" s="3" t="s">
        <v>413</v>
      </c>
      <c r="H100" t="str" cm="1">
        <f t="array" ref="H100">_xlfn.IFS(D100&gt;50,"Inactive",D100&lt;=50,"Active")</f>
        <v>Inactive</v>
      </c>
      <c r="I100" t="s">
        <v>414</v>
      </c>
    </row>
    <row r="101" spans="1:9" x14ac:dyDescent="0.3">
      <c r="A101" t="s">
        <v>117</v>
      </c>
      <c r="B101" s="2">
        <v>45896</v>
      </c>
      <c r="C101" t="s">
        <v>315</v>
      </c>
      <c r="D101">
        <v>53</v>
      </c>
      <c r="E101" t="s">
        <v>410</v>
      </c>
      <c r="F101" t="str">
        <f>IF(G101=A,"Basic", IF(G101=D,"Standard", IF(G101=B,"Premium","Not Paid")))</f>
        <v>Basic</v>
      </c>
      <c r="G101" s="3" t="s">
        <v>411</v>
      </c>
      <c r="H101" t="str" cm="1">
        <f t="array" ref="H101">_xlfn.IFS(D101&gt;50,"Inactive",D101&lt;=50,"Active")</f>
        <v>Inactive</v>
      </c>
      <c r="I101" t="s">
        <v>414</v>
      </c>
    </row>
    <row r="102" spans="1:9" x14ac:dyDescent="0.3">
      <c r="A102" t="s">
        <v>118</v>
      </c>
      <c r="B102" s="2">
        <v>45951</v>
      </c>
      <c r="C102" t="s">
        <v>316</v>
      </c>
      <c r="D102">
        <v>49</v>
      </c>
      <c r="E102" t="s">
        <v>409</v>
      </c>
      <c r="F102" t="str">
        <f>IF(G102=A,"Basic", IF(G102=D,"Standard", IF(G102=B,"Premium","Not Paid")))</f>
        <v>Premium</v>
      </c>
      <c r="G102" s="3" t="s">
        <v>412</v>
      </c>
      <c r="H102" t="str" cm="1">
        <f t="array" ref="H102">_xlfn.IFS(D102&gt;50,"Inactive",D102&lt;=50,"Active")</f>
        <v>Active</v>
      </c>
      <c r="I102" t="s">
        <v>414</v>
      </c>
    </row>
    <row r="103" spans="1:9" x14ac:dyDescent="0.3">
      <c r="A103" t="s">
        <v>119</v>
      </c>
      <c r="B103" s="2">
        <v>45768</v>
      </c>
      <c r="C103" t="s">
        <v>317</v>
      </c>
      <c r="D103">
        <v>21</v>
      </c>
      <c r="E103" t="s">
        <v>409</v>
      </c>
      <c r="F103" t="str">
        <f>IF(G103=A,"Basic", IF(G103=D,"Standard", IF(G103=B,"Premium","Not Paid")))</f>
        <v>Standard</v>
      </c>
      <c r="G103" s="3" t="s">
        <v>413</v>
      </c>
      <c r="H103" t="str" cm="1">
        <f t="array" ref="H103">_xlfn.IFS(D103&gt;50,"Inactive",D103&lt;=50,"Active")</f>
        <v>Active</v>
      </c>
      <c r="I103" t="s">
        <v>414</v>
      </c>
    </row>
    <row r="104" spans="1:9" x14ac:dyDescent="0.3">
      <c r="A104" t="s">
        <v>120</v>
      </c>
      <c r="B104" s="2">
        <v>45365</v>
      </c>
      <c r="C104" t="s">
        <v>318</v>
      </c>
      <c r="D104">
        <v>43</v>
      </c>
      <c r="E104" t="s">
        <v>410</v>
      </c>
      <c r="F104" t="str">
        <f>IF(G104=A,"Basic", IF(G104=D,"Standard", IF(G104=B,"Premium","Not Paid")))</f>
        <v>Basic</v>
      </c>
      <c r="G104" s="3" t="s">
        <v>411</v>
      </c>
      <c r="H104" t="str" cm="1">
        <f t="array" ref="H104">_xlfn.IFS(D104&gt;50,"Inactive",D104&lt;=50,"Active")</f>
        <v>Active</v>
      </c>
      <c r="I104" t="s">
        <v>414</v>
      </c>
    </row>
    <row r="105" spans="1:9" x14ac:dyDescent="0.3">
      <c r="A105" t="s">
        <v>121</v>
      </c>
      <c r="B105" s="2">
        <v>45364</v>
      </c>
      <c r="C105" t="s">
        <v>319</v>
      </c>
      <c r="D105">
        <v>35</v>
      </c>
      <c r="E105" t="s">
        <v>410</v>
      </c>
      <c r="F105" t="str">
        <f>IF(G105=A,"Basic", IF(G105=D,"Standard", IF(G105=B,"Premium","Not Paid")))</f>
        <v>Premium</v>
      </c>
      <c r="G105" s="3" t="s">
        <v>412</v>
      </c>
      <c r="H105" t="str" cm="1">
        <f t="array" ref="H105">_xlfn.IFS(D105&gt;50,"Inactive",D105&lt;=50,"Active")</f>
        <v>Active</v>
      </c>
      <c r="I105" t="s">
        <v>414</v>
      </c>
    </row>
    <row r="106" spans="1:9" x14ac:dyDescent="0.3">
      <c r="A106" t="s">
        <v>122</v>
      </c>
      <c r="B106" s="2">
        <v>45779</v>
      </c>
      <c r="C106" t="s">
        <v>320</v>
      </c>
      <c r="D106">
        <v>36</v>
      </c>
      <c r="E106" t="s">
        <v>409</v>
      </c>
      <c r="F106" t="str">
        <f>IF(G106=A,"Basic", IF(G106=D,"Standard", IF(G106=B,"Premium","Not Paid")))</f>
        <v>Standard</v>
      </c>
      <c r="G106" s="3" t="s">
        <v>413</v>
      </c>
      <c r="H106" t="str" cm="1">
        <f t="array" ref="H106">_xlfn.IFS(D106&gt;50,"Inactive",D106&lt;=50,"Active")</f>
        <v>Active</v>
      </c>
      <c r="I106" t="s">
        <v>414</v>
      </c>
    </row>
    <row r="107" spans="1:9" x14ac:dyDescent="0.3">
      <c r="A107" t="s">
        <v>123</v>
      </c>
      <c r="B107" s="2">
        <v>45639</v>
      </c>
      <c r="C107" t="s">
        <v>321</v>
      </c>
      <c r="D107">
        <v>21</v>
      </c>
      <c r="E107" t="s">
        <v>409</v>
      </c>
      <c r="F107" t="str">
        <f>IF(G107=A,"Basic", IF(G107=D,"Standard", IF(G107=B,"Premium","Not Paid")))</f>
        <v>Basic</v>
      </c>
      <c r="G107" s="3" t="s">
        <v>411</v>
      </c>
      <c r="H107" t="str" cm="1">
        <f t="array" ref="H107">_xlfn.IFS(D107&gt;50,"Inactive",D107&lt;=50,"Active")</f>
        <v>Active</v>
      </c>
      <c r="I107" t="s">
        <v>414</v>
      </c>
    </row>
    <row r="108" spans="1:9" x14ac:dyDescent="0.3">
      <c r="A108" t="s">
        <v>124</v>
      </c>
      <c r="B108" s="2">
        <v>45874</v>
      </c>
      <c r="C108" t="s">
        <v>322</v>
      </c>
      <c r="D108">
        <v>60</v>
      </c>
      <c r="E108" t="s">
        <v>410</v>
      </c>
      <c r="F108" t="str">
        <f>IF(G108=A,"Basic", IF(G108=D,"Standard", IF(G108=B,"Premium","Not Paid")))</f>
        <v>Premium</v>
      </c>
      <c r="G108" s="3" t="s">
        <v>412</v>
      </c>
      <c r="H108" t="str" cm="1">
        <f t="array" ref="H108">_xlfn.IFS(D108&gt;50,"Inactive",D108&lt;=50,"Active")</f>
        <v>Inactive</v>
      </c>
      <c r="I108" t="s">
        <v>414</v>
      </c>
    </row>
    <row r="109" spans="1:9" x14ac:dyDescent="0.3">
      <c r="A109" t="s">
        <v>125</v>
      </c>
      <c r="B109" s="2">
        <v>45447</v>
      </c>
      <c r="C109" t="s">
        <v>323</v>
      </c>
      <c r="D109">
        <v>47</v>
      </c>
      <c r="E109" t="s">
        <v>410</v>
      </c>
      <c r="F109" t="str">
        <f>IF(G109=A,"Basic", IF(G109=D,"Standard", IF(G109=B,"Premium","Not Paid")))</f>
        <v>Standard</v>
      </c>
      <c r="G109" s="3" t="s">
        <v>413</v>
      </c>
      <c r="H109" t="str" cm="1">
        <f t="array" ref="H109">_xlfn.IFS(D109&gt;50,"Inactive",D109&lt;=50,"Active")</f>
        <v>Active</v>
      </c>
      <c r="I109" t="s">
        <v>414</v>
      </c>
    </row>
    <row r="110" spans="1:9" x14ac:dyDescent="0.3">
      <c r="A110" t="s">
        <v>126</v>
      </c>
      <c r="B110" s="2">
        <v>45907</v>
      </c>
      <c r="C110" t="s">
        <v>324</v>
      </c>
      <c r="D110">
        <v>26</v>
      </c>
      <c r="E110" t="s">
        <v>409</v>
      </c>
      <c r="F110" t="str">
        <f>IF(G110=A,"Basic", IF(G110=D,"Standard", IF(G110=B,"Premium","Not Paid")))</f>
        <v>Basic</v>
      </c>
      <c r="G110" s="3" t="s">
        <v>411</v>
      </c>
      <c r="H110" t="str" cm="1">
        <f t="array" ref="H110">_xlfn.IFS(D110&gt;50,"Inactive",D110&lt;=50,"Active")</f>
        <v>Active</v>
      </c>
      <c r="I110" t="s">
        <v>414</v>
      </c>
    </row>
    <row r="111" spans="1:9" x14ac:dyDescent="0.3">
      <c r="A111" t="s">
        <v>127</v>
      </c>
      <c r="B111" s="2">
        <v>45803</v>
      </c>
      <c r="C111" t="s">
        <v>325</v>
      </c>
      <c r="D111">
        <v>41</v>
      </c>
      <c r="E111" t="s">
        <v>409</v>
      </c>
      <c r="F111" t="str">
        <f>IF(G111=A,"Basic", IF(G111=D,"Standard", IF(G111=B,"Premium","Not Paid")))</f>
        <v>Premium</v>
      </c>
      <c r="G111" s="3" t="s">
        <v>412</v>
      </c>
      <c r="H111" t="str" cm="1">
        <f t="array" ref="H111">_xlfn.IFS(D111&gt;50,"Inactive",D111&lt;=50,"Active")</f>
        <v>Active</v>
      </c>
      <c r="I111" t="s">
        <v>414</v>
      </c>
    </row>
    <row r="112" spans="1:9" x14ac:dyDescent="0.3">
      <c r="A112" t="s">
        <v>128</v>
      </c>
      <c r="B112" s="2">
        <v>45364</v>
      </c>
      <c r="C112" t="s">
        <v>326</v>
      </c>
      <c r="D112">
        <v>35</v>
      </c>
      <c r="E112" t="s">
        <v>410</v>
      </c>
      <c r="F112" t="str">
        <f>IF(G112=A,"Basic", IF(G112=D,"Standard", IF(G112=B,"Premium","Not Paid")))</f>
        <v>Standard</v>
      </c>
      <c r="G112" s="3" t="s">
        <v>413</v>
      </c>
      <c r="H112" t="str" cm="1">
        <f t="array" ref="H112">_xlfn.IFS(D112&gt;50,"Inactive",D112&lt;=50,"Active")</f>
        <v>Active</v>
      </c>
      <c r="I112" t="s">
        <v>414</v>
      </c>
    </row>
    <row r="113" spans="1:9" x14ac:dyDescent="0.3">
      <c r="A113" t="s">
        <v>129</v>
      </c>
      <c r="B113" s="2">
        <v>45530</v>
      </c>
      <c r="C113" t="s">
        <v>327</v>
      </c>
      <c r="D113">
        <v>20</v>
      </c>
      <c r="E113" t="s">
        <v>410</v>
      </c>
      <c r="F113" t="str">
        <f>IF(G113=A,"Basic", IF(G113=D,"Standard", IF(G113=B,"Premium","Not Paid")))</f>
        <v>Basic</v>
      </c>
      <c r="G113" s="3" t="s">
        <v>411</v>
      </c>
      <c r="H113" t="str" cm="1">
        <f t="array" ref="H113">_xlfn.IFS(D113&gt;50,"Inactive",D113&lt;=50,"Active")</f>
        <v>Active</v>
      </c>
      <c r="I113" t="s">
        <v>414</v>
      </c>
    </row>
    <row r="114" spans="1:9" x14ac:dyDescent="0.3">
      <c r="A114" t="s">
        <v>130</v>
      </c>
      <c r="B114" s="2">
        <v>45552</v>
      </c>
      <c r="C114" t="s">
        <v>328</v>
      </c>
      <c r="D114">
        <v>36</v>
      </c>
      <c r="E114" t="s">
        <v>409</v>
      </c>
      <c r="F114" t="str">
        <f>IF(G114=A,"Basic", IF(G114=D,"Standard", IF(G114=B,"Premium","Not Paid")))</f>
        <v>Premium</v>
      </c>
      <c r="G114" s="3" t="s">
        <v>412</v>
      </c>
      <c r="H114" t="str" cm="1">
        <f t="array" ref="H114">_xlfn.IFS(D114&gt;50,"Inactive",D114&lt;=50,"Active")</f>
        <v>Active</v>
      </c>
      <c r="I114" t="s">
        <v>414</v>
      </c>
    </row>
    <row r="115" spans="1:9" x14ac:dyDescent="0.3">
      <c r="A115" t="s">
        <v>131</v>
      </c>
      <c r="B115" s="2">
        <v>45570</v>
      </c>
      <c r="C115" t="s">
        <v>329</v>
      </c>
      <c r="D115">
        <v>54</v>
      </c>
      <c r="E115" t="s">
        <v>409</v>
      </c>
      <c r="F115" t="str">
        <f>IF(G115=A,"Basic", IF(G115=D,"Standard", IF(G115=B,"Premium","Not Paid")))</f>
        <v>Standard</v>
      </c>
      <c r="G115" s="3" t="s">
        <v>413</v>
      </c>
      <c r="H115" t="str" cm="1">
        <f t="array" ref="H115">_xlfn.IFS(D115&gt;50,"Inactive",D115&lt;=50,"Active")</f>
        <v>Inactive</v>
      </c>
      <c r="I115" t="s">
        <v>414</v>
      </c>
    </row>
    <row r="116" spans="1:9" x14ac:dyDescent="0.3">
      <c r="A116" t="s">
        <v>132</v>
      </c>
      <c r="B116" s="2">
        <v>45442</v>
      </c>
      <c r="C116" t="s">
        <v>330</v>
      </c>
      <c r="D116">
        <v>29</v>
      </c>
      <c r="E116" t="s">
        <v>410</v>
      </c>
      <c r="F116" t="str">
        <f>IF(G116=A,"Basic", IF(G116=D,"Standard", IF(G116=B,"Premium","Not Paid")))</f>
        <v>Basic</v>
      </c>
      <c r="G116" s="3" t="s">
        <v>411</v>
      </c>
      <c r="H116" t="str" cm="1">
        <f t="array" ref="H116">_xlfn.IFS(D116&gt;50,"Inactive",D116&lt;=50,"Active")</f>
        <v>Active</v>
      </c>
      <c r="I116" t="s">
        <v>414</v>
      </c>
    </row>
    <row r="117" spans="1:9" x14ac:dyDescent="0.3">
      <c r="A117" t="s">
        <v>133</v>
      </c>
      <c r="B117" s="2">
        <v>45726</v>
      </c>
      <c r="C117" t="s">
        <v>331</v>
      </c>
      <c r="D117">
        <v>48</v>
      </c>
      <c r="E117" t="s">
        <v>410</v>
      </c>
      <c r="F117" t="str">
        <f>IF(G117=A,"Basic", IF(G117=D,"Standard", IF(G117=B,"Premium","Not Paid")))</f>
        <v>Premium</v>
      </c>
      <c r="G117" s="3" t="s">
        <v>412</v>
      </c>
      <c r="H117" t="str" cm="1">
        <f t="array" ref="H117">_xlfn.IFS(D117&gt;50,"Inactive",D117&lt;=50,"Active")</f>
        <v>Active</v>
      </c>
      <c r="I117" t="s">
        <v>414</v>
      </c>
    </row>
    <row r="118" spans="1:9" x14ac:dyDescent="0.3">
      <c r="A118" t="s">
        <v>134</v>
      </c>
      <c r="B118" s="2">
        <v>45661</v>
      </c>
      <c r="C118" t="s">
        <v>332</v>
      </c>
      <c r="D118">
        <v>33</v>
      </c>
      <c r="E118" t="s">
        <v>409</v>
      </c>
      <c r="F118" t="str">
        <f>IF(G118=A,"Basic", IF(G118=D,"Standard", IF(G118=B,"Premium","Not Paid")))</f>
        <v>Standard</v>
      </c>
      <c r="G118" s="3" t="s">
        <v>413</v>
      </c>
      <c r="H118" t="str" cm="1">
        <f t="array" ref="H118">_xlfn.IFS(D118&gt;50,"Inactive",D118&lt;=50,"Active")</f>
        <v>Active</v>
      </c>
      <c r="I118" t="s">
        <v>414</v>
      </c>
    </row>
    <row r="119" spans="1:9" x14ac:dyDescent="0.3">
      <c r="A119" t="s">
        <v>135</v>
      </c>
      <c r="B119" s="2">
        <v>45364</v>
      </c>
      <c r="C119" t="s">
        <v>333</v>
      </c>
      <c r="D119">
        <v>24</v>
      </c>
      <c r="E119" t="s">
        <v>409</v>
      </c>
      <c r="F119" t="str">
        <f>IF(G119=A,"Basic", IF(G119=D,"Standard", IF(G119=B,"Premium","Not Paid")))</f>
        <v>Basic</v>
      </c>
      <c r="G119" s="3" t="s">
        <v>411</v>
      </c>
      <c r="H119" t="str" cm="1">
        <f t="array" ref="H119">_xlfn.IFS(D119&gt;50,"Inactive",D119&lt;=50,"Active")</f>
        <v>Active</v>
      </c>
      <c r="I119" t="s">
        <v>414</v>
      </c>
    </row>
    <row r="120" spans="1:9" x14ac:dyDescent="0.3">
      <c r="A120" t="s">
        <v>136</v>
      </c>
      <c r="B120" s="2">
        <v>45910</v>
      </c>
      <c r="C120" t="s">
        <v>241</v>
      </c>
      <c r="D120">
        <v>60</v>
      </c>
      <c r="E120" t="s">
        <v>410</v>
      </c>
      <c r="F120" t="str">
        <f>IF(G120=A,"Basic", IF(G120=D,"Standard", IF(G120=B,"Premium","Not Paid")))</f>
        <v>Premium</v>
      </c>
      <c r="G120" s="3" t="s">
        <v>412</v>
      </c>
      <c r="H120" t="str" cm="1">
        <f t="array" ref="H120">_xlfn.IFS(D120&gt;50,"Inactive",D120&lt;=50,"Active")</f>
        <v>Inactive</v>
      </c>
      <c r="I120" t="s">
        <v>414</v>
      </c>
    </row>
    <row r="121" spans="1:9" x14ac:dyDescent="0.3">
      <c r="A121" t="s">
        <v>137</v>
      </c>
      <c r="B121" s="2">
        <v>45428</v>
      </c>
      <c r="C121" t="s">
        <v>334</v>
      </c>
      <c r="D121">
        <v>64</v>
      </c>
      <c r="E121" t="s">
        <v>410</v>
      </c>
      <c r="F121" t="str">
        <f>IF(G121=A,"Basic", IF(G121=D,"Standard", IF(G121=B,"Premium","Not Paid")))</f>
        <v>Standard</v>
      </c>
      <c r="G121" s="3" t="s">
        <v>413</v>
      </c>
      <c r="H121" t="str" cm="1">
        <f t="array" ref="H121">_xlfn.IFS(D121&gt;50,"Inactive",D121&lt;=50,"Active")</f>
        <v>Inactive</v>
      </c>
      <c r="I121" t="s">
        <v>414</v>
      </c>
    </row>
    <row r="122" spans="1:9" x14ac:dyDescent="0.3">
      <c r="A122" t="s">
        <v>138</v>
      </c>
      <c r="B122" s="2">
        <v>45371</v>
      </c>
      <c r="C122" t="s">
        <v>335</v>
      </c>
      <c r="D122">
        <v>42</v>
      </c>
      <c r="E122" t="s">
        <v>409</v>
      </c>
      <c r="F122" t="str">
        <f>IF(G122=A,"Basic", IF(G122=D,"Standard", IF(G122=B,"Premium","Not Paid")))</f>
        <v>Basic</v>
      </c>
      <c r="G122" s="3" t="s">
        <v>411</v>
      </c>
      <c r="H122" t="str" cm="1">
        <f t="array" ref="H122">_xlfn.IFS(D122&gt;50,"Inactive",D122&lt;=50,"Active")</f>
        <v>Active</v>
      </c>
      <c r="I122" t="s">
        <v>414</v>
      </c>
    </row>
    <row r="123" spans="1:9" x14ac:dyDescent="0.3">
      <c r="A123" t="s">
        <v>139</v>
      </c>
      <c r="B123" s="2">
        <v>45661</v>
      </c>
      <c r="C123" t="s">
        <v>336</v>
      </c>
      <c r="D123">
        <v>22</v>
      </c>
      <c r="E123" t="s">
        <v>409</v>
      </c>
      <c r="F123" t="str">
        <f>IF(G123=A,"Basic", IF(G123=D,"Standard", IF(G123=B,"Premium","Not Paid")))</f>
        <v>Premium</v>
      </c>
      <c r="G123" s="3" t="s">
        <v>412</v>
      </c>
      <c r="H123" t="str" cm="1">
        <f t="array" ref="H123">_xlfn.IFS(D123&gt;50,"Inactive",D123&lt;=50,"Active")</f>
        <v>Active</v>
      </c>
      <c r="I123" t="s">
        <v>414</v>
      </c>
    </row>
    <row r="124" spans="1:9" x14ac:dyDescent="0.3">
      <c r="A124" t="s">
        <v>140</v>
      </c>
      <c r="B124" s="2">
        <v>45746</v>
      </c>
      <c r="C124" t="s">
        <v>337</v>
      </c>
      <c r="D124">
        <v>33</v>
      </c>
      <c r="E124" t="s">
        <v>410</v>
      </c>
      <c r="F124" t="str">
        <f>IF(G124=A,"Basic", IF(G124=D,"Standard", IF(G124=B,"Premium","Not Paid")))</f>
        <v>Standard</v>
      </c>
      <c r="G124" s="3" t="s">
        <v>413</v>
      </c>
      <c r="H124" t="str" cm="1">
        <f t="array" ref="H124">_xlfn.IFS(D124&gt;50,"Inactive",D124&lt;=50,"Active")</f>
        <v>Active</v>
      </c>
      <c r="I124" t="s">
        <v>414</v>
      </c>
    </row>
    <row r="125" spans="1:9" x14ac:dyDescent="0.3">
      <c r="A125" t="s">
        <v>141</v>
      </c>
      <c r="B125" s="2">
        <v>45676</v>
      </c>
      <c r="C125" t="s">
        <v>338</v>
      </c>
      <c r="D125">
        <v>51</v>
      </c>
      <c r="E125" t="s">
        <v>410</v>
      </c>
      <c r="F125" t="str">
        <f>IF(G125=A,"Basic", IF(G125=D,"Standard", IF(G125=B,"Premium","Not Paid")))</f>
        <v>Basic</v>
      </c>
      <c r="G125" s="3" t="s">
        <v>411</v>
      </c>
      <c r="H125" t="str" cm="1">
        <f t="array" ref="H125">_xlfn.IFS(D125&gt;50,"Inactive",D125&lt;=50,"Active")</f>
        <v>Inactive</v>
      </c>
      <c r="I125" t="s">
        <v>414</v>
      </c>
    </row>
    <row r="126" spans="1:9" x14ac:dyDescent="0.3">
      <c r="A126" t="s">
        <v>142</v>
      </c>
      <c r="B126" s="2">
        <v>45382</v>
      </c>
      <c r="C126" t="s">
        <v>338</v>
      </c>
      <c r="D126">
        <v>50</v>
      </c>
      <c r="E126" t="s">
        <v>409</v>
      </c>
      <c r="F126" t="str">
        <f>IF(G126=A,"Basic", IF(G126=D,"Standard", IF(G126=B,"Premium","Not Paid")))</f>
        <v>Premium</v>
      </c>
      <c r="G126" s="3" t="s">
        <v>412</v>
      </c>
      <c r="H126" t="str" cm="1">
        <f t="array" ref="H126">_xlfn.IFS(D126&gt;50,"Inactive",D126&lt;=50,"Active")</f>
        <v>Active</v>
      </c>
      <c r="I126" t="s">
        <v>414</v>
      </c>
    </row>
    <row r="127" spans="1:9" x14ac:dyDescent="0.3">
      <c r="A127" t="s">
        <v>143</v>
      </c>
      <c r="B127" s="2">
        <v>45877</v>
      </c>
      <c r="C127" t="s">
        <v>339</v>
      </c>
      <c r="D127">
        <v>29</v>
      </c>
      <c r="E127" t="s">
        <v>409</v>
      </c>
      <c r="F127" t="str">
        <f>IF(G127=A,"Basic", IF(G127=D,"Standard", IF(G127=B,"Premium","Not Paid")))</f>
        <v>Standard</v>
      </c>
      <c r="G127" s="3" t="s">
        <v>413</v>
      </c>
      <c r="H127" t="str" cm="1">
        <f t="array" ref="H127">_xlfn.IFS(D127&gt;50,"Inactive",D127&lt;=50,"Active")</f>
        <v>Active</v>
      </c>
      <c r="I127" t="s">
        <v>414</v>
      </c>
    </row>
    <row r="128" spans="1:9" x14ac:dyDescent="0.3">
      <c r="A128" t="s">
        <v>144</v>
      </c>
      <c r="B128" s="2">
        <v>45308</v>
      </c>
      <c r="C128" t="s">
        <v>340</v>
      </c>
      <c r="D128">
        <v>49</v>
      </c>
      <c r="E128" t="s">
        <v>410</v>
      </c>
      <c r="F128" t="str">
        <f>IF(G128=A,"Basic", IF(G128=D,"Standard", IF(G128=B,"Premium","Not Paid")))</f>
        <v>Basic</v>
      </c>
      <c r="G128" s="3" t="s">
        <v>411</v>
      </c>
      <c r="H128" t="str" cm="1">
        <f t="array" ref="H128">_xlfn.IFS(D128&gt;50,"Inactive",D128&lt;=50,"Active")</f>
        <v>Active</v>
      </c>
      <c r="I128" t="s">
        <v>414</v>
      </c>
    </row>
    <row r="129" spans="1:9" x14ac:dyDescent="0.3">
      <c r="A129" t="s">
        <v>145</v>
      </c>
      <c r="B129" s="2">
        <v>45316</v>
      </c>
      <c r="C129" t="s">
        <v>341</v>
      </c>
      <c r="D129">
        <v>42</v>
      </c>
      <c r="E129" t="s">
        <v>410</v>
      </c>
      <c r="F129" t="str">
        <f>IF(G129=A,"Basic", IF(G129=D,"Standard", IF(G129=B,"Premium","Not Paid")))</f>
        <v>Premium</v>
      </c>
      <c r="G129" s="3" t="s">
        <v>412</v>
      </c>
      <c r="H129" t="str" cm="1">
        <f t="array" ref="H129">_xlfn.IFS(D129&gt;50,"Inactive",D129&lt;=50,"Active")</f>
        <v>Active</v>
      </c>
      <c r="I129" t="s">
        <v>414</v>
      </c>
    </row>
    <row r="130" spans="1:9" x14ac:dyDescent="0.3">
      <c r="A130" t="s">
        <v>146</v>
      </c>
      <c r="B130" s="2">
        <v>45540</v>
      </c>
      <c r="C130" t="s">
        <v>342</v>
      </c>
      <c r="D130">
        <v>32</v>
      </c>
      <c r="E130" t="s">
        <v>409</v>
      </c>
      <c r="F130" t="str">
        <f>IF(G130=A,"Basic", IF(G130=D,"Standard", IF(G130=B,"Premium","Not Paid")))</f>
        <v>Standard</v>
      </c>
      <c r="G130" s="3" t="s">
        <v>413</v>
      </c>
      <c r="H130" t="str" cm="1">
        <f t="array" ref="H130">_xlfn.IFS(D130&gt;50,"Inactive",D130&lt;=50,"Active")</f>
        <v>Active</v>
      </c>
      <c r="I130" t="s">
        <v>414</v>
      </c>
    </row>
    <row r="131" spans="1:9" x14ac:dyDescent="0.3">
      <c r="A131" t="s">
        <v>147</v>
      </c>
      <c r="B131" s="2">
        <v>45843</v>
      </c>
      <c r="C131" t="s">
        <v>343</v>
      </c>
      <c r="D131">
        <v>63</v>
      </c>
      <c r="E131" t="s">
        <v>409</v>
      </c>
      <c r="F131" t="str">
        <f>IF(G131=A,"Basic", IF(G131=D,"Standard", IF(G131=B,"Premium","Not Paid")))</f>
        <v>Basic</v>
      </c>
      <c r="G131" s="3" t="s">
        <v>411</v>
      </c>
      <c r="H131" t="str" cm="1">
        <f t="array" ref="H131">_xlfn.IFS(D131&gt;50,"Inactive",D131&lt;=50,"Active")</f>
        <v>Inactive</v>
      </c>
      <c r="I131" t="s">
        <v>414</v>
      </c>
    </row>
    <row r="132" spans="1:9" x14ac:dyDescent="0.3">
      <c r="A132" t="s">
        <v>148</v>
      </c>
      <c r="B132" s="2">
        <v>45431</v>
      </c>
      <c r="C132" t="s">
        <v>344</v>
      </c>
      <c r="D132">
        <v>22</v>
      </c>
      <c r="E132" t="s">
        <v>410</v>
      </c>
      <c r="F132" t="str">
        <f>IF(G132=A,"Basic", IF(G132=D,"Standard", IF(G132=B,"Premium","Not Paid")))</f>
        <v>Premium</v>
      </c>
      <c r="G132" s="3" t="s">
        <v>412</v>
      </c>
      <c r="H132" t="str" cm="1">
        <f t="array" ref="H132">_xlfn.IFS(D132&gt;50,"Inactive",D132&lt;=50,"Active")</f>
        <v>Active</v>
      </c>
      <c r="I132" t="s">
        <v>414</v>
      </c>
    </row>
    <row r="133" spans="1:9" x14ac:dyDescent="0.3">
      <c r="A133" t="s">
        <v>149</v>
      </c>
      <c r="B133" s="2">
        <v>45448</v>
      </c>
      <c r="C133" t="s">
        <v>345</v>
      </c>
      <c r="D133">
        <v>43</v>
      </c>
      <c r="E133" t="s">
        <v>410</v>
      </c>
      <c r="F133" t="str">
        <f>IF(G133=A,"Basic", IF(G133=D,"Standard", IF(G133=B,"Premium","Not Paid")))</f>
        <v>Standard</v>
      </c>
      <c r="G133" s="3" t="s">
        <v>413</v>
      </c>
      <c r="H133" t="str" cm="1">
        <f t="array" ref="H133">_xlfn.IFS(D133&gt;50,"Inactive",D133&lt;=50,"Active")</f>
        <v>Active</v>
      </c>
      <c r="I133" t="s">
        <v>414</v>
      </c>
    </row>
    <row r="134" spans="1:9" x14ac:dyDescent="0.3">
      <c r="A134" t="s">
        <v>150</v>
      </c>
      <c r="B134" s="2">
        <v>45570</v>
      </c>
      <c r="C134" t="s">
        <v>346</v>
      </c>
      <c r="D134">
        <v>45</v>
      </c>
      <c r="E134" t="s">
        <v>409</v>
      </c>
      <c r="F134" t="str">
        <f>IF(G134=A,"Basic", IF(G134=D,"Standard", IF(G134=B,"Premium","Not Paid")))</f>
        <v>Basic</v>
      </c>
      <c r="G134" s="3" t="s">
        <v>411</v>
      </c>
      <c r="H134" t="str" cm="1">
        <f t="array" ref="H134">_xlfn.IFS(D134&gt;50,"Inactive",D134&lt;=50,"Active")</f>
        <v>Active</v>
      </c>
      <c r="I134" t="s">
        <v>414</v>
      </c>
    </row>
    <row r="135" spans="1:9" x14ac:dyDescent="0.3">
      <c r="A135" t="s">
        <v>151</v>
      </c>
      <c r="B135" s="2">
        <v>45612</v>
      </c>
      <c r="C135" t="s">
        <v>347</v>
      </c>
      <c r="D135">
        <v>25</v>
      </c>
      <c r="E135" t="s">
        <v>409</v>
      </c>
      <c r="F135" t="str">
        <f>IF(G135=A,"Basic", IF(G135=D,"Standard", IF(G135=B,"Premium","Not Paid")))</f>
        <v>Premium</v>
      </c>
      <c r="G135" s="3" t="s">
        <v>412</v>
      </c>
      <c r="H135" t="str" cm="1">
        <f t="array" ref="H135">_xlfn.IFS(D135&gt;50,"Inactive",D135&lt;=50,"Active")</f>
        <v>Active</v>
      </c>
      <c r="I135" t="s">
        <v>414</v>
      </c>
    </row>
    <row r="136" spans="1:9" x14ac:dyDescent="0.3">
      <c r="A136" t="s">
        <v>152</v>
      </c>
      <c r="B136" s="2">
        <v>45529</v>
      </c>
      <c r="C136" t="s">
        <v>348</v>
      </c>
      <c r="D136">
        <v>32</v>
      </c>
      <c r="E136" t="s">
        <v>410</v>
      </c>
      <c r="F136" t="str">
        <f>IF(G136=A,"Basic", IF(G136=D,"Standard", IF(G136=B,"Premium","Not Paid")))</f>
        <v>Standard</v>
      </c>
      <c r="G136" s="3" t="s">
        <v>413</v>
      </c>
      <c r="H136" t="str" cm="1">
        <f t="array" ref="H136">_xlfn.IFS(D136&gt;50,"Inactive",D136&lt;=50,"Active")</f>
        <v>Active</v>
      </c>
      <c r="I136" t="s">
        <v>414</v>
      </c>
    </row>
    <row r="137" spans="1:9" x14ac:dyDescent="0.3">
      <c r="A137" t="s">
        <v>153</v>
      </c>
      <c r="B137" s="2">
        <v>45549</v>
      </c>
      <c r="C137" t="s">
        <v>349</v>
      </c>
      <c r="D137">
        <v>52</v>
      </c>
      <c r="E137" t="s">
        <v>410</v>
      </c>
      <c r="F137" t="str">
        <f>IF(G137=A,"Basic", IF(G137=D,"Standard", IF(G137=B,"Premium","Not Paid")))</f>
        <v>Basic</v>
      </c>
      <c r="G137" s="3" t="s">
        <v>411</v>
      </c>
      <c r="H137" t="str" cm="1">
        <f t="array" ref="H137">_xlfn.IFS(D137&gt;50,"Inactive",D137&lt;=50,"Active")</f>
        <v>Inactive</v>
      </c>
      <c r="I137" t="s">
        <v>414</v>
      </c>
    </row>
    <row r="138" spans="1:9" x14ac:dyDescent="0.3">
      <c r="A138" t="s">
        <v>154</v>
      </c>
      <c r="B138" s="2">
        <v>45634</v>
      </c>
      <c r="C138" t="s">
        <v>350</v>
      </c>
      <c r="D138">
        <v>64</v>
      </c>
      <c r="E138" t="s">
        <v>409</v>
      </c>
      <c r="F138" t="str">
        <f>IF(G138=A,"Basic", IF(G138=D,"Standard", IF(G138=B,"Premium","Not Paid")))</f>
        <v>Premium</v>
      </c>
      <c r="G138" s="3" t="s">
        <v>412</v>
      </c>
      <c r="H138" t="str" cm="1">
        <f t="array" ref="H138">_xlfn.IFS(D138&gt;50,"Inactive",D138&lt;=50,"Active")</f>
        <v>Inactive</v>
      </c>
      <c r="I138" t="s">
        <v>414</v>
      </c>
    </row>
    <row r="139" spans="1:9" x14ac:dyDescent="0.3">
      <c r="A139" t="s">
        <v>155</v>
      </c>
      <c r="B139" s="2">
        <v>45689</v>
      </c>
      <c r="C139" t="s">
        <v>351</v>
      </c>
      <c r="D139">
        <v>58</v>
      </c>
      <c r="E139" t="s">
        <v>409</v>
      </c>
      <c r="F139" t="str">
        <f>IF(G139=A,"Basic", IF(G139=D,"Standard", IF(G139=B,"Premium","Not Paid")))</f>
        <v>Standard</v>
      </c>
      <c r="G139" s="3" t="s">
        <v>413</v>
      </c>
      <c r="H139" t="str" cm="1">
        <f t="array" ref="H139">_xlfn.IFS(D139&gt;50,"Inactive",D139&lt;=50,"Active")</f>
        <v>Inactive</v>
      </c>
      <c r="I139" t="s">
        <v>414</v>
      </c>
    </row>
    <row r="140" spans="1:9" x14ac:dyDescent="0.3">
      <c r="A140" t="s">
        <v>156</v>
      </c>
      <c r="B140" s="2">
        <v>45538</v>
      </c>
      <c r="C140" t="s">
        <v>352</v>
      </c>
      <c r="D140">
        <v>29</v>
      </c>
      <c r="E140" t="s">
        <v>410</v>
      </c>
      <c r="F140" t="str">
        <f>IF(G140=A,"Basic", IF(G140=D,"Standard", IF(G140=B,"Premium","Not Paid")))</f>
        <v>Basic</v>
      </c>
      <c r="G140" s="3" t="s">
        <v>411</v>
      </c>
      <c r="H140" t="str" cm="1">
        <f t="array" ref="H140">_xlfn.IFS(D140&gt;50,"Inactive",D140&lt;=50,"Active")</f>
        <v>Active</v>
      </c>
      <c r="I140" t="s">
        <v>414</v>
      </c>
    </row>
    <row r="141" spans="1:9" x14ac:dyDescent="0.3">
      <c r="A141" t="s">
        <v>157</v>
      </c>
      <c r="B141" s="2">
        <v>45569</v>
      </c>
      <c r="C141" t="s">
        <v>353</v>
      </c>
      <c r="D141">
        <v>57</v>
      </c>
      <c r="E141" t="s">
        <v>410</v>
      </c>
      <c r="F141" t="str">
        <f>IF(G141=A,"Basic", IF(G141=D,"Standard", IF(G141=B,"Premium","Not Paid")))</f>
        <v>Premium</v>
      </c>
      <c r="G141" s="3" t="s">
        <v>412</v>
      </c>
      <c r="H141" t="str" cm="1">
        <f t="array" ref="H141">_xlfn.IFS(D141&gt;50,"Inactive",D141&lt;=50,"Active")</f>
        <v>Inactive</v>
      </c>
      <c r="I141" t="s">
        <v>414</v>
      </c>
    </row>
    <row r="142" spans="1:9" x14ac:dyDescent="0.3">
      <c r="A142" t="s">
        <v>158</v>
      </c>
      <c r="B142" s="2">
        <v>45608</v>
      </c>
      <c r="C142" t="s">
        <v>354</v>
      </c>
      <c r="D142">
        <v>21</v>
      </c>
      <c r="E142" t="s">
        <v>409</v>
      </c>
      <c r="F142" t="str">
        <f>IF(G142=A,"Basic", IF(G142=D,"Standard", IF(G142=B,"Premium","Not Paid")))</f>
        <v>Standard</v>
      </c>
      <c r="G142" s="3" t="s">
        <v>413</v>
      </c>
      <c r="H142" t="str" cm="1">
        <f t="array" ref="H142">_xlfn.IFS(D142&gt;50,"Inactive",D142&lt;=50,"Active")</f>
        <v>Active</v>
      </c>
      <c r="I142" t="s">
        <v>414</v>
      </c>
    </row>
    <row r="143" spans="1:9" x14ac:dyDescent="0.3">
      <c r="A143" t="s">
        <v>159</v>
      </c>
      <c r="B143" s="2">
        <v>45907</v>
      </c>
      <c r="C143" t="s">
        <v>355</v>
      </c>
      <c r="D143">
        <v>46</v>
      </c>
      <c r="E143" t="s">
        <v>409</v>
      </c>
      <c r="F143" t="str">
        <f>IF(G143=A,"Basic", IF(G143=D,"Standard", IF(G143=B,"Premium","Not Paid")))</f>
        <v>Basic</v>
      </c>
      <c r="G143" s="3" t="s">
        <v>411</v>
      </c>
      <c r="H143" t="str" cm="1">
        <f t="array" ref="H143">_xlfn.IFS(D143&gt;50,"Inactive",D143&lt;=50,"Active")</f>
        <v>Active</v>
      </c>
      <c r="I143" t="s">
        <v>414</v>
      </c>
    </row>
    <row r="144" spans="1:9" x14ac:dyDescent="0.3">
      <c r="A144" t="s">
        <v>160</v>
      </c>
      <c r="B144" s="2">
        <v>45753</v>
      </c>
      <c r="C144" t="s">
        <v>356</v>
      </c>
      <c r="D144">
        <v>59</v>
      </c>
      <c r="E144" t="s">
        <v>410</v>
      </c>
      <c r="F144" t="str">
        <f>IF(G144=A,"Basic", IF(G144=D,"Standard", IF(G144=B,"Premium","Not Paid")))</f>
        <v>Premium</v>
      </c>
      <c r="G144" s="3" t="s">
        <v>412</v>
      </c>
      <c r="H144" t="str" cm="1">
        <f t="array" ref="H144">_xlfn.IFS(D144&gt;50,"Inactive",D144&lt;=50,"Active")</f>
        <v>Inactive</v>
      </c>
      <c r="I144" t="s">
        <v>414</v>
      </c>
    </row>
    <row r="145" spans="1:9" x14ac:dyDescent="0.3">
      <c r="A145" t="s">
        <v>161</v>
      </c>
      <c r="B145" s="2">
        <v>45646</v>
      </c>
      <c r="C145" t="s">
        <v>242</v>
      </c>
      <c r="D145">
        <v>64</v>
      </c>
      <c r="E145" t="s">
        <v>410</v>
      </c>
      <c r="F145" t="str">
        <f>IF(G145=A,"Basic", IF(G145=D,"Standard", IF(G145=B,"Premium","Not Paid")))</f>
        <v>Standard</v>
      </c>
      <c r="G145" s="3" t="s">
        <v>413</v>
      </c>
      <c r="H145" t="str" cm="1">
        <f t="array" ref="H145">_xlfn.IFS(D145&gt;50,"Inactive",D145&lt;=50,"Active")</f>
        <v>Inactive</v>
      </c>
      <c r="I145" t="s">
        <v>414</v>
      </c>
    </row>
    <row r="146" spans="1:9" x14ac:dyDescent="0.3">
      <c r="A146" t="s">
        <v>162</v>
      </c>
      <c r="B146" s="2">
        <v>45371</v>
      </c>
      <c r="C146" t="s">
        <v>357</v>
      </c>
      <c r="D146">
        <v>46</v>
      </c>
      <c r="E146" t="s">
        <v>409</v>
      </c>
      <c r="F146" t="str">
        <f>IF(G146=A,"Basic", IF(G146=D,"Standard", IF(G146=B,"Premium","Not Paid")))</f>
        <v>Basic</v>
      </c>
      <c r="G146" s="3" t="s">
        <v>411</v>
      </c>
      <c r="H146" t="str" cm="1">
        <f t="array" ref="H146">_xlfn.IFS(D146&gt;50,"Inactive",D146&lt;=50,"Active")</f>
        <v>Active</v>
      </c>
      <c r="I146" t="s">
        <v>414</v>
      </c>
    </row>
    <row r="147" spans="1:9" x14ac:dyDescent="0.3">
      <c r="A147" t="s">
        <v>163</v>
      </c>
      <c r="B147" s="2">
        <v>45579</v>
      </c>
      <c r="C147" t="s">
        <v>358</v>
      </c>
      <c r="D147">
        <v>63</v>
      </c>
      <c r="E147" t="s">
        <v>409</v>
      </c>
      <c r="F147" t="str">
        <f>IF(G147=A,"Basic", IF(G147=D,"Standard", IF(G147=B,"Premium","Not Paid")))</f>
        <v>Premium</v>
      </c>
      <c r="G147" s="3" t="s">
        <v>412</v>
      </c>
      <c r="H147" t="str" cm="1">
        <f t="array" ref="H147">_xlfn.IFS(D147&gt;50,"Inactive",D147&lt;=50,"Active")</f>
        <v>Inactive</v>
      </c>
      <c r="I147" t="s">
        <v>414</v>
      </c>
    </row>
    <row r="148" spans="1:9" x14ac:dyDescent="0.3">
      <c r="A148" t="s">
        <v>164</v>
      </c>
      <c r="B148" s="2">
        <v>45662</v>
      </c>
      <c r="C148" t="s">
        <v>359</v>
      </c>
      <c r="D148">
        <v>53</v>
      </c>
      <c r="E148" t="s">
        <v>410</v>
      </c>
      <c r="F148" t="str">
        <f>IF(G148=A,"Basic", IF(G148=D,"Standard", IF(G148=B,"Premium","Not Paid")))</f>
        <v>Standard</v>
      </c>
      <c r="G148" s="3" t="s">
        <v>413</v>
      </c>
      <c r="H148" t="str" cm="1">
        <f t="array" ref="H148">_xlfn.IFS(D148&gt;50,"Inactive",D148&lt;=50,"Active")</f>
        <v>Inactive</v>
      </c>
      <c r="I148" t="s">
        <v>414</v>
      </c>
    </row>
    <row r="149" spans="1:9" x14ac:dyDescent="0.3">
      <c r="A149" t="s">
        <v>165</v>
      </c>
      <c r="B149" s="2">
        <v>45303</v>
      </c>
      <c r="C149" t="s">
        <v>360</v>
      </c>
      <c r="D149">
        <v>47</v>
      </c>
      <c r="E149" t="s">
        <v>410</v>
      </c>
      <c r="F149" t="str">
        <f>IF(G149=A,"Basic", IF(G149=D,"Standard", IF(G149=B,"Premium","Not Paid")))</f>
        <v>Basic</v>
      </c>
      <c r="G149" s="3" t="s">
        <v>411</v>
      </c>
      <c r="H149" t="str" cm="1">
        <f t="array" ref="H149">_xlfn.IFS(D149&gt;50,"Inactive",D149&lt;=50,"Active")</f>
        <v>Active</v>
      </c>
      <c r="I149" t="s">
        <v>414</v>
      </c>
    </row>
    <row r="150" spans="1:9" x14ac:dyDescent="0.3">
      <c r="A150" t="s">
        <v>166</v>
      </c>
      <c r="B150" s="2">
        <v>45564</v>
      </c>
      <c r="C150" t="s">
        <v>295</v>
      </c>
      <c r="D150">
        <v>36</v>
      </c>
      <c r="E150" t="s">
        <v>409</v>
      </c>
      <c r="F150" t="str">
        <f>IF(G150=A,"Basic", IF(G150=D,"Standard", IF(G150=B,"Premium","Not Paid")))</f>
        <v>Premium</v>
      </c>
      <c r="G150" s="3" t="s">
        <v>412</v>
      </c>
      <c r="H150" t="str" cm="1">
        <f t="array" ref="H150">_xlfn.IFS(D150&gt;50,"Inactive",D150&lt;=50,"Active")</f>
        <v>Active</v>
      </c>
      <c r="I150" t="s">
        <v>414</v>
      </c>
    </row>
    <row r="151" spans="1:9" x14ac:dyDescent="0.3">
      <c r="A151" t="s">
        <v>167</v>
      </c>
      <c r="B151" s="2">
        <v>45975</v>
      </c>
      <c r="C151" t="s">
        <v>361</v>
      </c>
      <c r="D151">
        <v>40</v>
      </c>
      <c r="E151" t="s">
        <v>409</v>
      </c>
      <c r="F151" t="str">
        <f>IF(G151=A,"Basic", IF(G151=D,"Standard", IF(G151=B,"Premium","Not Paid")))</f>
        <v>Standard</v>
      </c>
      <c r="G151" s="3" t="s">
        <v>413</v>
      </c>
      <c r="H151" t="str" cm="1">
        <f t="array" ref="H151">_xlfn.IFS(D151&gt;50,"Inactive",D151&lt;=50,"Active")</f>
        <v>Active</v>
      </c>
      <c r="I151" t="s">
        <v>414</v>
      </c>
    </row>
    <row r="152" spans="1:9" x14ac:dyDescent="0.3">
      <c r="A152" t="s">
        <v>168</v>
      </c>
      <c r="B152" s="2">
        <v>45598</v>
      </c>
      <c r="C152" t="s">
        <v>362</v>
      </c>
      <c r="D152">
        <v>34</v>
      </c>
      <c r="E152" t="s">
        <v>410</v>
      </c>
      <c r="F152" t="str">
        <f>IF(G152=A,"Basic", IF(G152=D,"Standard", IF(G152=B,"Premium","Not Paid")))</f>
        <v>Basic</v>
      </c>
      <c r="G152" s="3" t="s">
        <v>411</v>
      </c>
      <c r="H152" t="str" cm="1">
        <f t="array" ref="H152">_xlfn.IFS(D152&gt;50,"Inactive",D152&lt;=50,"Active")</f>
        <v>Active</v>
      </c>
      <c r="I152" t="s">
        <v>414</v>
      </c>
    </row>
    <row r="153" spans="1:9" x14ac:dyDescent="0.3">
      <c r="A153" t="s">
        <v>169</v>
      </c>
      <c r="B153" s="2">
        <v>45451</v>
      </c>
      <c r="C153" t="s">
        <v>363</v>
      </c>
      <c r="D153">
        <v>40</v>
      </c>
      <c r="E153" t="s">
        <v>410</v>
      </c>
      <c r="F153" t="str">
        <f>IF(G153=A,"Basic", IF(G153=D,"Standard", IF(G153=B,"Premium","Not Paid")))</f>
        <v>Premium</v>
      </c>
      <c r="G153" s="3" t="s">
        <v>412</v>
      </c>
      <c r="H153" t="str" cm="1">
        <f t="array" ref="H153">_xlfn.IFS(D153&gt;50,"Inactive",D153&lt;=50,"Active")</f>
        <v>Active</v>
      </c>
      <c r="I153" t="s">
        <v>414</v>
      </c>
    </row>
    <row r="154" spans="1:9" x14ac:dyDescent="0.3">
      <c r="A154" t="s">
        <v>170</v>
      </c>
      <c r="B154" s="2">
        <v>45439</v>
      </c>
      <c r="C154" t="s">
        <v>364</v>
      </c>
      <c r="D154">
        <v>60</v>
      </c>
      <c r="E154" t="s">
        <v>409</v>
      </c>
      <c r="F154" t="str">
        <f>IF(G154=A,"Basic", IF(G154=D,"Standard", IF(G154=B,"Premium","Not Paid")))</f>
        <v>Standard</v>
      </c>
      <c r="G154" s="3" t="s">
        <v>413</v>
      </c>
      <c r="H154" t="str" cm="1">
        <f t="array" ref="H154">_xlfn.IFS(D154&gt;50,"Inactive",D154&lt;=50,"Active")</f>
        <v>Inactive</v>
      </c>
      <c r="I154" t="s">
        <v>414</v>
      </c>
    </row>
    <row r="155" spans="1:9" x14ac:dyDescent="0.3">
      <c r="A155" t="s">
        <v>171</v>
      </c>
      <c r="B155" s="2">
        <v>45595</v>
      </c>
      <c r="C155" t="s">
        <v>365</v>
      </c>
      <c r="D155">
        <v>33</v>
      </c>
      <c r="E155" t="s">
        <v>409</v>
      </c>
      <c r="F155" t="str">
        <f>IF(G155=A,"Basic", IF(G155=D,"Standard", IF(G155=B,"Premium","Not Paid")))</f>
        <v>Basic</v>
      </c>
      <c r="G155" s="3" t="s">
        <v>411</v>
      </c>
      <c r="H155" t="str" cm="1">
        <f t="array" ref="H155">_xlfn.IFS(D155&gt;50,"Inactive",D155&lt;=50,"Active")</f>
        <v>Active</v>
      </c>
      <c r="I155" t="s">
        <v>414</v>
      </c>
    </row>
    <row r="156" spans="1:9" x14ac:dyDescent="0.3">
      <c r="A156" t="s">
        <v>172</v>
      </c>
      <c r="B156" s="2">
        <v>45404</v>
      </c>
      <c r="C156" t="s">
        <v>366</v>
      </c>
      <c r="D156">
        <v>20</v>
      </c>
      <c r="E156" t="s">
        <v>410</v>
      </c>
      <c r="F156" t="str">
        <f>IF(G156=A,"Basic", IF(G156=D,"Standard", IF(G156=B,"Premium","Not Paid")))</f>
        <v>Premium</v>
      </c>
      <c r="G156" s="3" t="s">
        <v>412</v>
      </c>
      <c r="H156" t="str" cm="1">
        <f t="array" ref="H156">_xlfn.IFS(D156&gt;50,"Inactive",D156&lt;=50,"Active")</f>
        <v>Active</v>
      </c>
      <c r="I156" t="s">
        <v>414</v>
      </c>
    </row>
    <row r="157" spans="1:9" x14ac:dyDescent="0.3">
      <c r="A157" t="s">
        <v>173</v>
      </c>
      <c r="B157" s="2">
        <v>46011</v>
      </c>
      <c r="C157" t="s">
        <v>367</v>
      </c>
      <c r="D157">
        <v>30</v>
      </c>
      <c r="E157" t="s">
        <v>410</v>
      </c>
      <c r="F157" t="str">
        <f>IF(G157=A,"Basic", IF(G157=D,"Standard", IF(G157=B,"Premium","Not Paid")))</f>
        <v>Standard</v>
      </c>
      <c r="G157" s="3" t="s">
        <v>413</v>
      </c>
      <c r="H157" t="str" cm="1">
        <f t="array" ref="H157">_xlfn.IFS(D157&gt;50,"Inactive",D157&lt;=50,"Active")</f>
        <v>Active</v>
      </c>
      <c r="I157" t="s">
        <v>414</v>
      </c>
    </row>
    <row r="158" spans="1:9" x14ac:dyDescent="0.3">
      <c r="A158" t="s">
        <v>174</v>
      </c>
      <c r="B158" s="2">
        <v>45345</v>
      </c>
      <c r="C158" t="s">
        <v>368</v>
      </c>
      <c r="D158">
        <v>55</v>
      </c>
      <c r="E158" t="s">
        <v>409</v>
      </c>
      <c r="F158" t="str">
        <f>IF(G158=A,"Basic", IF(G158=D,"Standard", IF(G158=B,"Premium","Not Paid")))</f>
        <v>Basic</v>
      </c>
      <c r="G158" s="3" t="s">
        <v>411</v>
      </c>
      <c r="H158" t="str" cm="1">
        <f t="array" ref="H158">_xlfn.IFS(D158&gt;50,"Inactive",D158&lt;=50,"Active")</f>
        <v>Inactive</v>
      </c>
      <c r="I158" t="s">
        <v>414</v>
      </c>
    </row>
    <row r="159" spans="1:9" x14ac:dyDescent="0.3">
      <c r="A159" t="s">
        <v>175</v>
      </c>
      <c r="B159" s="2">
        <v>45833</v>
      </c>
      <c r="C159" t="s">
        <v>369</v>
      </c>
      <c r="D159">
        <v>43</v>
      </c>
      <c r="E159" t="s">
        <v>409</v>
      </c>
      <c r="F159" t="str">
        <f>IF(G159=A,"Basic", IF(G159=D,"Standard", IF(G159=B,"Premium","Not Paid")))</f>
        <v>Premium</v>
      </c>
      <c r="G159" s="3" t="s">
        <v>412</v>
      </c>
      <c r="H159" t="str" cm="1">
        <f t="array" ref="H159">_xlfn.IFS(D159&gt;50,"Inactive",D159&lt;=50,"Active")</f>
        <v>Active</v>
      </c>
      <c r="I159" t="s">
        <v>414</v>
      </c>
    </row>
    <row r="160" spans="1:9" x14ac:dyDescent="0.3">
      <c r="A160" t="s">
        <v>176</v>
      </c>
      <c r="B160" s="2">
        <v>45759</v>
      </c>
      <c r="C160" t="s">
        <v>370</v>
      </c>
      <c r="D160">
        <v>57</v>
      </c>
      <c r="E160" t="s">
        <v>410</v>
      </c>
      <c r="F160" t="str">
        <f>IF(G160=A,"Basic", IF(G160=D,"Standard", IF(G160=B,"Premium","Not Paid")))</f>
        <v>Standard</v>
      </c>
      <c r="G160" s="3" t="s">
        <v>413</v>
      </c>
      <c r="H160" t="str" cm="1">
        <f t="array" ref="H160">_xlfn.IFS(D160&gt;50,"Inactive",D160&lt;=50,"Active")</f>
        <v>Inactive</v>
      </c>
      <c r="I160" t="s">
        <v>414</v>
      </c>
    </row>
    <row r="161" spans="1:9" x14ac:dyDescent="0.3">
      <c r="A161" t="s">
        <v>177</v>
      </c>
      <c r="B161" s="2">
        <v>45632</v>
      </c>
      <c r="C161" t="s">
        <v>371</v>
      </c>
      <c r="D161">
        <v>63</v>
      </c>
      <c r="E161" t="s">
        <v>410</v>
      </c>
      <c r="F161" t="str">
        <f>IF(G161=A,"Basic", IF(G161=D,"Standard", IF(G161=B,"Premium","Not Paid")))</f>
        <v>Basic</v>
      </c>
      <c r="G161" s="3" t="s">
        <v>411</v>
      </c>
      <c r="H161" t="str" cm="1">
        <f t="array" ref="H161">_xlfn.IFS(D161&gt;50,"Inactive",D161&lt;=50,"Active")</f>
        <v>Inactive</v>
      </c>
      <c r="I161" t="s">
        <v>414</v>
      </c>
    </row>
    <row r="162" spans="1:9" x14ac:dyDescent="0.3">
      <c r="A162" t="s">
        <v>178</v>
      </c>
      <c r="B162" s="2">
        <v>45555</v>
      </c>
      <c r="C162" t="s">
        <v>372</v>
      </c>
      <c r="D162">
        <v>36</v>
      </c>
      <c r="E162" t="s">
        <v>409</v>
      </c>
      <c r="F162" t="str">
        <f>IF(G162=A,"Basic", IF(G162=D,"Standard", IF(G162=B,"Premium","Not Paid")))</f>
        <v>Premium</v>
      </c>
      <c r="G162" s="3" t="s">
        <v>412</v>
      </c>
      <c r="H162" t="str" cm="1">
        <f t="array" ref="H162">_xlfn.IFS(D162&gt;50,"Inactive",D162&lt;=50,"Active")</f>
        <v>Active</v>
      </c>
      <c r="I162" t="s">
        <v>414</v>
      </c>
    </row>
    <row r="163" spans="1:9" x14ac:dyDescent="0.3">
      <c r="A163" t="s">
        <v>179</v>
      </c>
      <c r="B163" s="2">
        <v>45965</v>
      </c>
      <c r="C163" t="s">
        <v>373</v>
      </c>
      <c r="D163">
        <v>59</v>
      </c>
      <c r="E163" t="s">
        <v>409</v>
      </c>
      <c r="F163" t="str">
        <f>IF(G163=A,"Basic", IF(G163=D,"Standard", IF(G163=B,"Premium","Not Paid")))</f>
        <v>Standard</v>
      </c>
      <c r="G163" s="3" t="s">
        <v>413</v>
      </c>
      <c r="H163" t="str" cm="1">
        <f t="array" ref="H163">_xlfn.IFS(D163&gt;50,"Inactive",D163&lt;=50,"Active")</f>
        <v>Inactive</v>
      </c>
      <c r="I163" t="s">
        <v>414</v>
      </c>
    </row>
    <row r="164" spans="1:9" x14ac:dyDescent="0.3">
      <c r="A164" t="s">
        <v>180</v>
      </c>
      <c r="B164" s="2">
        <v>45988</v>
      </c>
      <c r="C164" t="s">
        <v>374</v>
      </c>
      <c r="D164">
        <v>40</v>
      </c>
      <c r="E164" t="s">
        <v>410</v>
      </c>
      <c r="F164" t="str">
        <f>IF(G164=A,"Basic", IF(G164=D,"Standard", IF(G164=B,"Premium","Not Paid")))</f>
        <v>Basic</v>
      </c>
      <c r="G164" s="3" t="s">
        <v>411</v>
      </c>
      <c r="H164" t="str" cm="1">
        <f t="array" ref="H164">_xlfn.IFS(D164&gt;50,"Inactive",D164&lt;=50,"Active")</f>
        <v>Active</v>
      </c>
      <c r="I164" t="s">
        <v>414</v>
      </c>
    </row>
    <row r="165" spans="1:9" x14ac:dyDescent="0.3">
      <c r="A165" t="s">
        <v>181</v>
      </c>
      <c r="B165" s="2">
        <v>45285</v>
      </c>
      <c r="C165" t="s">
        <v>375</v>
      </c>
      <c r="D165">
        <v>32</v>
      </c>
      <c r="E165" t="s">
        <v>410</v>
      </c>
      <c r="F165" t="str">
        <f>IF(G165=A,"Basic", IF(G165=D,"Standard", IF(G165=B,"Premium","Not Paid")))</f>
        <v>Premium</v>
      </c>
      <c r="G165" s="3" t="s">
        <v>412</v>
      </c>
      <c r="H165" t="str" cm="1">
        <f t="array" ref="H165">_xlfn.IFS(D165&gt;50,"Inactive",D165&lt;=50,"Active")</f>
        <v>Active</v>
      </c>
      <c r="I165" t="s">
        <v>414</v>
      </c>
    </row>
    <row r="166" spans="1:9" x14ac:dyDescent="0.3">
      <c r="A166" t="s">
        <v>182</v>
      </c>
      <c r="B166" s="2">
        <v>45421</v>
      </c>
      <c r="C166" t="s">
        <v>376</v>
      </c>
      <c r="D166">
        <v>41</v>
      </c>
      <c r="E166" t="s">
        <v>409</v>
      </c>
      <c r="F166" t="str">
        <f>IF(G166=A,"Basic", IF(G166=D,"Standard", IF(G166=B,"Premium","Not Paid")))</f>
        <v>Standard</v>
      </c>
      <c r="G166" s="3" t="s">
        <v>413</v>
      </c>
      <c r="H166" t="str" cm="1">
        <f t="array" ref="H166">_xlfn.IFS(D166&gt;50,"Inactive",D166&lt;=50,"Active")</f>
        <v>Active</v>
      </c>
      <c r="I166" t="s">
        <v>414</v>
      </c>
    </row>
    <row r="167" spans="1:9" x14ac:dyDescent="0.3">
      <c r="A167" t="s">
        <v>183</v>
      </c>
      <c r="B167" s="2">
        <v>45938</v>
      </c>
      <c r="C167" t="s">
        <v>377</v>
      </c>
      <c r="D167">
        <v>62</v>
      </c>
      <c r="E167" t="s">
        <v>409</v>
      </c>
      <c r="F167" t="str">
        <f>IF(G167=A,"Basic", IF(G167=D,"Standard", IF(G167=B,"Premium","Not Paid")))</f>
        <v>Basic</v>
      </c>
      <c r="G167" s="3" t="s">
        <v>411</v>
      </c>
      <c r="H167" t="str" cm="1">
        <f t="array" ref="H167">_xlfn.IFS(D167&gt;50,"Inactive",D167&lt;=50,"Active")</f>
        <v>Inactive</v>
      </c>
      <c r="I167" t="s">
        <v>414</v>
      </c>
    </row>
    <row r="168" spans="1:9" x14ac:dyDescent="0.3">
      <c r="A168" t="s">
        <v>184</v>
      </c>
      <c r="B168" s="2">
        <v>45412</v>
      </c>
      <c r="C168" t="s">
        <v>378</v>
      </c>
      <c r="D168">
        <v>19</v>
      </c>
      <c r="E168" t="s">
        <v>410</v>
      </c>
      <c r="F168" t="str">
        <f>IF(G168=A,"Basic", IF(G168=D,"Standard", IF(G168=B,"Premium","Not Paid")))</f>
        <v>Premium</v>
      </c>
      <c r="G168" s="3" t="s">
        <v>412</v>
      </c>
      <c r="H168" t="str" cm="1">
        <f t="array" ref="H168">_xlfn.IFS(D168&gt;50,"Inactive",D168&lt;=50,"Active")</f>
        <v>Active</v>
      </c>
      <c r="I168" t="s">
        <v>414</v>
      </c>
    </row>
    <row r="169" spans="1:9" x14ac:dyDescent="0.3">
      <c r="A169" t="s">
        <v>185</v>
      </c>
      <c r="B169" s="2">
        <v>45317</v>
      </c>
      <c r="C169" t="s">
        <v>379</v>
      </c>
      <c r="D169">
        <v>20</v>
      </c>
      <c r="E169" t="s">
        <v>410</v>
      </c>
      <c r="F169" t="str">
        <f>IF(G169=A,"Basic", IF(G169=D,"Standard", IF(G169=B,"Premium","Not Paid")))</f>
        <v>Standard</v>
      </c>
      <c r="G169" s="3" t="s">
        <v>413</v>
      </c>
      <c r="H169" t="str" cm="1">
        <f t="array" ref="H169">_xlfn.IFS(D169&gt;50,"Inactive",D169&lt;=50,"Active")</f>
        <v>Active</v>
      </c>
      <c r="I169" t="s">
        <v>414</v>
      </c>
    </row>
    <row r="170" spans="1:9" x14ac:dyDescent="0.3">
      <c r="A170" t="s">
        <v>186</v>
      </c>
      <c r="B170" s="2">
        <v>45493</v>
      </c>
      <c r="C170" t="s">
        <v>380</v>
      </c>
      <c r="D170">
        <v>44</v>
      </c>
      <c r="E170" t="s">
        <v>409</v>
      </c>
      <c r="F170" t="str">
        <f>IF(G170=A,"Basic", IF(G170=D,"Standard", IF(G170=B,"Premium","Not Paid")))</f>
        <v>Basic</v>
      </c>
      <c r="G170" s="3" t="s">
        <v>411</v>
      </c>
      <c r="H170" t="str" cm="1">
        <f t="array" ref="H170">_xlfn.IFS(D170&gt;50,"Inactive",D170&lt;=50,"Active")</f>
        <v>Active</v>
      </c>
      <c r="I170" t="s">
        <v>414</v>
      </c>
    </row>
    <row r="171" spans="1:9" x14ac:dyDescent="0.3">
      <c r="A171" t="s">
        <v>187</v>
      </c>
      <c r="B171" s="2">
        <v>45713</v>
      </c>
      <c r="C171" t="s">
        <v>381</v>
      </c>
      <c r="D171">
        <v>25</v>
      </c>
      <c r="E171" t="s">
        <v>409</v>
      </c>
      <c r="F171" t="str">
        <f>IF(G171=A,"Basic", IF(G171=D,"Standard", IF(G171=B,"Premium","Not Paid")))</f>
        <v>Premium</v>
      </c>
      <c r="G171" s="3" t="s">
        <v>412</v>
      </c>
      <c r="H171" t="str" cm="1">
        <f t="array" ref="H171">_xlfn.IFS(D171&gt;50,"Inactive",D171&lt;=50,"Active")</f>
        <v>Active</v>
      </c>
      <c r="I171" t="s">
        <v>414</v>
      </c>
    </row>
    <row r="172" spans="1:9" x14ac:dyDescent="0.3">
      <c r="A172" t="s">
        <v>188</v>
      </c>
      <c r="B172" s="2">
        <v>45703</v>
      </c>
      <c r="C172" t="s">
        <v>382</v>
      </c>
      <c r="D172">
        <v>30</v>
      </c>
      <c r="E172" t="s">
        <v>410</v>
      </c>
      <c r="F172" t="str">
        <f>IF(G172=A,"Basic", IF(G172=D,"Standard", IF(G172=B,"Premium","Not Paid")))</f>
        <v>Standard</v>
      </c>
      <c r="G172" s="3" t="s">
        <v>413</v>
      </c>
      <c r="H172" t="str" cm="1">
        <f t="array" ref="H172">_xlfn.IFS(D172&gt;50,"Inactive",D172&lt;=50,"Active")</f>
        <v>Active</v>
      </c>
      <c r="I172" t="s">
        <v>414</v>
      </c>
    </row>
    <row r="173" spans="1:9" x14ac:dyDescent="0.3">
      <c r="A173" t="s">
        <v>189</v>
      </c>
      <c r="B173" s="2">
        <v>45812</v>
      </c>
      <c r="C173" t="s">
        <v>383</v>
      </c>
      <c r="D173">
        <v>28</v>
      </c>
      <c r="E173" t="s">
        <v>410</v>
      </c>
      <c r="F173" t="str">
        <f>IF(G173=A,"Basic", IF(G173=D,"Standard", IF(G173=B,"Premium","Not Paid")))</f>
        <v>Basic</v>
      </c>
      <c r="G173" s="3" t="s">
        <v>411</v>
      </c>
      <c r="H173" t="str" cm="1">
        <f t="array" ref="H173">_xlfn.IFS(D173&gt;50,"Inactive",D173&lt;=50,"Active")</f>
        <v>Active</v>
      </c>
      <c r="I173" t="s">
        <v>414</v>
      </c>
    </row>
    <row r="174" spans="1:9" x14ac:dyDescent="0.3">
      <c r="A174" t="s">
        <v>190</v>
      </c>
      <c r="B174" s="2">
        <v>45781</v>
      </c>
      <c r="C174" t="s">
        <v>384</v>
      </c>
      <c r="D174">
        <v>49</v>
      </c>
      <c r="E174" t="s">
        <v>409</v>
      </c>
      <c r="F174" t="str">
        <f>IF(G174=A,"Basic", IF(G174=D,"Standard", IF(G174=B,"Premium","Not Paid")))</f>
        <v>Premium</v>
      </c>
      <c r="G174" s="3" t="s">
        <v>412</v>
      </c>
      <c r="H174" t="str" cm="1">
        <f t="array" ref="H174">_xlfn.IFS(D174&gt;50,"Inactive",D174&lt;=50,"Active")</f>
        <v>Active</v>
      </c>
      <c r="I174" t="s">
        <v>414</v>
      </c>
    </row>
    <row r="175" spans="1:9" x14ac:dyDescent="0.3">
      <c r="A175" t="s">
        <v>191</v>
      </c>
      <c r="B175" s="2">
        <v>45384</v>
      </c>
      <c r="C175" t="s">
        <v>385</v>
      </c>
      <c r="D175">
        <v>65</v>
      </c>
      <c r="E175" t="s">
        <v>409</v>
      </c>
      <c r="F175" t="str">
        <f>IF(G175=A,"Basic", IF(G175=D,"Standard", IF(G175=B,"Premium","Not Paid")))</f>
        <v>Standard</v>
      </c>
      <c r="G175" s="3" t="s">
        <v>413</v>
      </c>
      <c r="H175" t="str" cm="1">
        <f t="array" ref="H175">_xlfn.IFS(D175&gt;50,"Inactive",D175&lt;=50,"Active")</f>
        <v>Inactive</v>
      </c>
      <c r="I175" t="s">
        <v>414</v>
      </c>
    </row>
    <row r="176" spans="1:9" x14ac:dyDescent="0.3">
      <c r="A176" t="s">
        <v>192</v>
      </c>
      <c r="B176" s="2">
        <v>45959</v>
      </c>
      <c r="C176" t="s">
        <v>271</v>
      </c>
      <c r="D176">
        <v>50</v>
      </c>
      <c r="E176" t="s">
        <v>410</v>
      </c>
      <c r="F176" t="str">
        <f>IF(G176=A,"Basic", IF(G176=D,"Standard", IF(G176=B,"Premium","Not Paid")))</f>
        <v>Basic</v>
      </c>
      <c r="G176" s="3" t="s">
        <v>411</v>
      </c>
      <c r="H176" t="str" cm="1">
        <f t="array" ref="H176">_xlfn.IFS(D176&gt;50,"Inactive",D176&lt;=50,"Active")</f>
        <v>Active</v>
      </c>
      <c r="I176" t="s">
        <v>414</v>
      </c>
    </row>
    <row r="177" spans="1:9" x14ac:dyDescent="0.3">
      <c r="A177" t="s">
        <v>193</v>
      </c>
      <c r="B177" s="2">
        <v>45323</v>
      </c>
      <c r="C177" t="s">
        <v>386</v>
      </c>
      <c r="D177">
        <v>45</v>
      </c>
      <c r="E177" t="s">
        <v>410</v>
      </c>
      <c r="F177" t="str">
        <f>IF(G177=A,"Basic", IF(G177=D,"Standard", IF(G177=B,"Premium","Not Paid")))</f>
        <v>Premium</v>
      </c>
      <c r="G177" s="3" t="s">
        <v>412</v>
      </c>
      <c r="H177" t="str" cm="1">
        <f t="array" ref="H177">_xlfn.IFS(D177&gt;50,"Inactive",D177&lt;=50,"Active")</f>
        <v>Active</v>
      </c>
      <c r="I177" t="s">
        <v>414</v>
      </c>
    </row>
    <row r="178" spans="1:9" x14ac:dyDescent="0.3">
      <c r="A178" t="s">
        <v>194</v>
      </c>
      <c r="B178" s="2">
        <v>46005</v>
      </c>
      <c r="C178" t="s">
        <v>387</v>
      </c>
      <c r="D178">
        <v>37</v>
      </c>
      <c r="E178" t="s">
        <v>409</v>
      </c>
      <c r="F178" t="str">
        <f>IF(G178=A,"Basic", IF(G178=D,"Standard", IF(G178=B,"Premium","Not Paid")))</f>
        <v>Standard</v>
      </c>
      <c r="G178" s="3" t="s">
        <v>413</v>
      </c>
      <c r="H178" t="str" cm="1">
        <f t="array" ref="H178">_xlfn.IFS(D178&gt;50,"Inactive",D178&lt;=50,"Active")</f>
        <v>Active</v>
      </c>
      <c r="I178" t="s">
        <v>414</v>
      </c>
    </row>
    <row r="179" spans="1:9" x14ac:dyDescent="0.3">
      <c r="A179" t="s">
        <v>195</v>
      </c>
      <c r="B179" s="2">
        <v>45863</v>
      </c>
      <c r="C179" t="s">
        <v>388</v>
      </c>
      <c r="D179">
        <v>28</v>
      </c>
      <c r="E179" t="s">
        <v>409</v>
      </c>
      <c r="F179" t="str">
        <f>IF(G179=A,"Basic", IF(G179=D,"Standard", IF(G179=B,"Premium","Not Paid")))</f>
        <v>Basic</v>
      </c>
      <c r="G179" s="3" t="s">
        <v>411</v>
      </c>
      <c r="H179" t="str" cm="1">
        <f t="array" ref="H179">_xlfn.IFS(D179&gt;50,"Inactive",D179&lt;=50,"Active")</f>
        <v>Active</v>
      </c>
      <c r="I179" t="s">
        <v>414</v>
      </c>
    </row>
    <row r="180" spans="1:9" x14ac:dyDescent="0.3">
      <c r="A180" t="s">
        <v>196</v>
      </c>
      <c r="B180" s="2">
        <v>45890</v>
      </c>
      <c r="C180" t="s">
        <v>389</v>
      </c>
      <c r="D180">
        <v>42</v>
      </c>
      <c r="E180" t="s">
        <v>410</v>
      </c>
      <c r="F180" t="str">
        <f>IF(G180=A,"Basic", IF(G180=D,"Standard", IF(G180=B,"Premium","Not Paid")))</f>
        <v>Premium</v>
      </c>
      <c r="G180" s="3" t="s">
        <v>412</v>
      </c>
      <c r="H180" t="str" cm="1">
        <f t="array" ref="H180">_xlfn.IFS(D180&gt;50,"Inactive",D180&lt;=50,"Active")</f>
        <v>Active</v>
      </c>
      <c r="I180" t="s">
        <v>414</v>
      </c>
    </row>
    <row r="181" spans="1:9" x14ac:dyDescent="0.3">
      <c r="A181" t="s">
        <v>197</v>
      </c>
      <c r="B181" s="2">
        <v>45444</v>
      </c>
      <c r="C181" t="s">
        <v>390</v>
      </c>
      <c r="D181">
        <v>36</v>
      </c>
      <c r="E181" t="s">
        <v>410</v>
      </c>
      <c r="F181" t="str">
        <f>IF(G181=A,"Basic", IF(G181=D,"Standard", IF(G181=B,"Premium","Not Paid")))</f>
        <v>Standard</v>
      </c>
      <c r="G181" s="3" t="s">
        <v>413</v>
      </c>
      <c r="H181" t="str" cm="1">
        <f t="array" ref="H181">_xlfn.IFS(D181&gt;50,"Inactive",D181&lt;=50,"Active")</f>
        <v>Active</v>
      </c>
      <c r="I181" t="s">
        <v>414</v>
      </c>
    </row>
    <row r="182" spans="1:9" x14ac:dyDescent="0.3">
      <c r="A182" t="s">
        <v>198</v>
      </c>
      <c r="B182" s="2">
        <v>45858</v>
      </c>
      <c r="C182" t="s">
        <v>391</v>
      </c>
      <c r="D182">
        <v>62</v>
      </c>
      <c r="E182" t="s">
        <v>409</v>
      </c>
      <c r="F182" t="str">
        <f>IF(G182=A,"Basic", IF(G182=D,"Standard", IF(G182=B,"Premium","Not Paid")))</f>
        <v>Basic</v>
      </c>
      <c r="G182" s="3" t="s">
        <v>411</v>
      </c>
      <c r="H182" t="str" cm="1">
        <f t="array" ref="H182">_xlfn.IFS(D182&gt;50,"Inactive",D182&lt;=50,"Active")</f>
        <v>Inactive</v>
      </c>
      <c r="I182" t="s">
        <v>414</v>
      </c>
    </row>
    <row r="183" spans="1:9" x14ac:dyDescent="0.3">
      <c r="A183" t="s">
        <v>199</v>
      </c>
      <c r="B183" s="2">
        <v>45907</v>
      </c>
      <c r="C183" t="s">
        <v>392</v>
      </c>
      <c r="D183">
        <v>47</v>
      </c>
      <c r="E183" t="s">
        <v>409</v>
      </c>
      <c r="F183" t="str">
        <f>IF(G183=A,"Basic", IF(G183=D,"Standard", IF(G183=B,"Premium","Not Paid")))</f>
        <v>Premium</v>
      </c>
      <c r="G183" s="3" t="s">
        <v>412</v>
      </c>
      <c r="H183" t="str" cm="1">
        <f t="array" ref="H183">_xlfn.IFS(D183&gt;50,"Inactive",D183&lt;=50,"Active")</f>
        <v>Active</v>
      </c>
      <c r="I183" t="s">
        <v>414</v>
      </c>
    </row>
    <row r="184" spans="1:9" x14ac:dyDescent="0.3">
      <c r="A184" t="s">
        <v>200</v>
      </c>
      <c r="B184" s="2">
        <v>45633</v>
      </c>
      <c r="C184" t="s">
        <v>393</v>
      </c>
      <c r="D184">
        <v>59</v>
      </c>
      <c r="E184" t="s">
        <v>410</v>
      </c>
      <c r="F184" t="str">
        <f>IF(G184=A,"Basic", IF(G184=D,"Standard", IF(G184=B,"Premium","Not Paid")))</f>
        <v>Standard</v>
      </c>
      <c r="G184" s="3" t="s">
        <v>413</v>
      </c>
      <c r="H184" t="str" cm="1">
        <f t="array" ref="H184">_xlfn.IFS(D184&gt;50,"Inactive",D184&lt;=50,"Active")</f>
        <v>Inactive</v>
      </c>
      <c r="I184" t="s">
        <v>414</v>
      </c>
    </row>
    <row r="185" spans="1:9" x14ac:dyDescent="0.3">
      <c r="A185" t="s">
        <v>201</v>
      </c>
      <c r="B185" s="2">
        <v>45791</v>
      </c>
      <c r="C185" t="s">
        <v>394</v>
      </c>
      <c r="D185">
        <v>49</v>
      </c>
      <c r="E185" t="s">
        <v>410</v>
      </c>
      <c r="F185" t="str">
        <f>IF(G185=A,"Basic", IF(G185=D,"Standard", IF(G185=B,"Premium","Not Paid")))</f>
        <v>Basic</v>
      </c>
      <c r="G185" s="3" t="s">
        <v>411</v>
      </c>
      <c r="H185" t="str" cm="1">
        <f t="array" ref="H185">_xlfn.IFS(D185&gt;50,"Inactive",D185&lt;=50,"Active")</f>
        <v>Active</v>
      </c>
      <c r="I185" t="s">
        <v>414</v>
      </c>
    </row>
    <row r="186" spans="1:9" x14ac:dyDescent="0.3">
      <c r="A186" t="s">
        <v>202</v>
      </c>
      <c r="B186" s="2">
        <v>45383</v>
      </c>
      <c r="C186" t="s">
        <v>395</v>
      </c>
      <c r="D186">
        <v>63</v>
      </c>
      <c r="E186" t="s">
        <v>409</v>
      </c>
      <c r="F186" t="str">
        <f>IF(G186=A,"Basic", IF(G186=D,"Standard", IF(G186=B,"Premium","Not Paid")))</f>
        <v>Premium</v>
      </c>
      <c r="G186" s="3" t="s">
        <v>412</v>
      </c>
      <c r="H186" t="str" cm="1">
        <f t="array" ref="H186">_xlfn.IFS(D186&gt;50,"Inactive",D186&lt;=50,"Active")</f>
        <v>Inactive</v>
      </c>
      <c r="I186" t="s">
        <v>414</v>
      </c>
    </row>
    <row r="187" spans="1:9" x14ac:dyDescent="0.3">
      <c r="A187" t="s">
        <v>203</v>
      </c>
      <c r="B187" s="2">
        <v>45762</v>
      </c>
      <c r="C187" t="s">
        <v>364</v>
      </c>
      <c r="D187">
        <v>50</v>
      </c>
      <c r="E187" t="s">
        <v>409</v>
      </c>
      <c r="F187" t="str">
        <f>IF(G187=A,"Basic", IF(G187=D,"Standard", IF(G187=B,"Premium","Not Paid")))</f>
        <v>Standard</v>
      </c>
      <c r="G187" s="3" t="s">
        <v>413</v>
      </c>
      <c r="H187" t="str" cm="1">
        <f t="array" ref="H187">_xlfn.IFS(D187&gt;50,"Inactive",D187&lt;=50,"Active")</f>
        <v>Active</v>
      </c>
      <c r="I187" t="s">
        <v>414</v>
      </c>
    </row>
    <row r="188" spans="1:9" x14ac:dyDescent="0.3">
      <c r="A188" t="s">
        <v>204</v>
      </c>
      <c r="B188" s="2">
        <v>45321</v>
      </c>
      <c r="C188" t="s">
        <v>396</v>
      </c>
      <c r="D188">
        <v>28</v>
      </c>
      <c r="E188" t="s">
        <v>410</v>
      </c>
      <c r="F188" t="str">
        <f>IF(G188=A,"Basic", IF(G188=D,"Standard", IF(G188=B,"Premium","Not Paid")))</f>
        <v>Basic</v>
      </c>
      <c r="G188" s="3" t="s">
        <v>411</v>
      </c>
      <c r="H188" t="str" cm="1">
        <f t="array" ref="H188">_xlfn.IFS(D188&gt;50,"Inactive",D188&lt;=50,"Active")</f>
        <v>Active</v>
      </c>
      <c r="I188" t="s">
        <v>414</v>
      </c>
    </row>
    <row r="189" spans="1:9" x14ac:dyDescent="0.3">
      <c r="A189" t="s">
        <v>205</v>
      </c>
      <c r="B189" s="2">
        <v>45611</v>
      </c>
      <c r="C189" t="s">
        <v>397</v>
      </c>
      <c r="D189">
        <v>35</v>
      </c>
      <c r="E189" t="s">
        <v>410</v>
      </c>
      <c r="F189" t="str">
        <f>IF(G189=A,"Basic", IF(G189=D,"Standard", IF(G189=B,"Premium","Not Paid")))</f>
        <v>Premium</v>
      </c>
      <c r="G189" s="3" t="s">
        <v>412</v>
      </c>
      <c r="H189" t="str" cm="1">
        <f t="array" ref="H189">_xlfn.IFS(D189&gt;50,"Inactive",D189&lt;=50,"Active")</f>
        <v>Active</v>
      </c>
      <c r="I189" t="s">
        <v>414</v>
      </c>
    </row>
    <row r="190" spans="1:9" x14ac:dyDescent="0.3">
      <c r="A190" t="s">
        <v>206</v>
      </c>
      <c r="B190" s="2">
        <v>45385</v>
      </c>
      <c r="C190" t="s">
        <v>398</v>
      </c>
      <c r="D190">
        <v>32</v>
      </c>
      <c r="E190" t="s">
        <v>409</v>
      </c>
      <c r="F190" t="str">
        <f>IF(G190=A,"Basic", IF(G190=D,"Standard", IF(G190=B,"Premium","Not Paid")))</f>
        <v>Standard</v>
      </c>
      <c r="G190" s="3" t="s">
        <v>413</v>
      </c>
      <c r="H190" t="str" cm="1">
        <f t="array" ref="H190">_xlfn.IFS(D190&gt;50,"Inactive",D190&lt;=50,"Active")</f>
        <v>Active</v>
      </c>
      <c r="I190" t="s">
        <v>414</v>
      </c>
    </row>
    <row r="191" spans="1:9" x14ac:dyDescent="0.3">
      <c r="A191" t="s">
        <v>207</v>
      </c>
      <c r="B191" s="2">
        <v>45554</v>
      </c>
      <c r="C191" t="s">
        <v>399</v>
      </c>
      <c r="D191">
        <v>29</v>
      </c>
      <c r="E191" t="s">
        <v>409</v>
      </c>
      <c r="F191" t="str">
        <f>IF(G191=A,"Basic", IF(G191=D,"Standard", IF(G191=B,"Premium","Not Paid")))</f>
        <v>Basic</v>
      </c>
      <c r="G191" s="3" t="s">
        <v>411</v>
      </c>
      <c r="H191" t="str" cm="1">
        <f t="array" ref="H191">_xlfn.IFS(D191&gt;50,"Inactive",D191&lt;=50,"Active")</f>
        <v>Active</v>
      </c>
      <c r="I191" t="s">
        <v>414</v>
      </c>
    </row>
    <row r="192" spans="1:9" x14ac:dyDescent="0.3">
      <c r="A192" t="s">
        <v>208</v>
      </c>
      <c r="B192" s="2">
        <v>45859</v>
      </c>
      <c r="C192" t="s">
        <v>400</v>
      </c>
      <c r="D192">
        <v>28</v>
      </c>
      <c r="E192" t="s">
        <v>410</v>
      </c>
      <c r="F192" t="str">
        <f>IF(G192=A,"Basic", IF(G192=D,"Standard", IF(G192=B,"Premium","Not Paid")))</f>
        <v>Premium</v>
      </c>
      <c r="G192" s="3" t="s">
        <v>412</v>
      </c>
      <c r="H192" t="str" cm="1">
        <f t="array" ref="H192">_xlfn.IFS(D192&gt;50,"Inactive",D192&lt;=50,"Active")</f>
        <v>Active</v>
      </c>
      <c r="I192" t="s">
        <v>414</v>
      </c>
    </row>
    <row r="193" spans="1:9" x14ac:dyDescent="0.3">
      <c r="A193" t="s">
        <v>209</v>
      </c>
      <c r="B193" s="2">
        <v>45912</v>
      </c>
      <c r="C193" t="s">
        <v>401</v>
      </c>
      <c r="D193">
        <v>22</v>
      </c>
      <c r="E193" t="s">
        <v>410</v>
      </c>
      <c r="F193" t="str">
        <f>IF(G193=A,"Basic", IF(G193=D,"Standard", IF(G193=B,"Premium","Not Paid")))</f>
        <v>Standard</v>
      </c>
      <c r="G193" s="3" t="s">
        <v>413</v>
      </c>
      <c r="H193" t="str" cm="1">
        <f t="array" ref="H193">_xlfn.IFS(D193&gt;50,"Inactive",D193&lt;=50,"Active")</f>
        <v>Active</v>
      </c>
      <c r="I193" t="s">
        <v>414</v>
      </c>
    </row>
    <row r="194" spans="1:9" x14ac:dyDescent="0.3">
      <c r="A194" t="s">
        <v>210</v>
      </c>
      <c r="B194" s="2">
        <v>45855</v>
      </c>
      <c r="C194" t="s">
        <v>402</v>
      </c>
      <c r="D194">
        <v>64</v>
      </c>
      <c r="E194" t="s">
        <v>409</v>
      </c>
      <c r="F194" t="str">
        <f>IF(G194=A,"Basic", IF(G194=D,"Standard", IF(G194=B,"Premium","Not Paid")))</f>
        <v>Basic</v>
      </c>
      <c r="G194" s="3" t="s">
        <v>411</v>
      </c>
      <c r="H194" t="str" cm="1">
        <f t="array" ref="H194">_xlfn.IFS(D194&gt;50,"Inactive",D194&lt;=50,"Active")</f>
        <v>Inactive</v>
      </c>
      <c r="I194" t="s">
        <v>414</v>
      </c>
    </row>
    <row r="195" spans="1:9" x14ac:dyDescent="0.3">
      <c r="A195" t="s">
        <v>211</v>
      </c>
      <c r="B195" s="2">
        <v>45903</v>
      </c>
      <c r="C195" t="s">
        <v>403</v>
      </c>
      <c r="D195">
        <v>53</v>
      </c>
      <c r="E195" t="s">
        <v>409</v>
      </c>
      <c r="F195" t="str">
        <f>IF(G195=A,"Basic", IF(G195=D,"Standard", IF(G195=B,"Premium","Not Paid")))</f>
        <v>Premium</v>
      </c>
      <c r="G195" s="3" t="s">
        <v>412</v>
      </c>
      <c r="H195" t="str" cm="1">
        <f t="array" ref="H195">_xlfn.IFS(D195&gt;50,"Inactive",D195&lt;=50,"Active")</f>
        <v>Inactive</v>
      </c>
      <c r="I195" t="s">
        <v>414</v>
      </c>
    </row>
    <row r="196" spans="1:9" x14ac:dyDescent="0.3">
      <c r="A196" t="s">
        <v>212</v>
      </c>
      <c r="B196" s="2">
        <v>45623</v>
      </c>
      <c r="C196" t="s">
        <v>404</v>
      </c>
      <c r="D196">
        <v>52</v>
      </c>
      <c r="E196" t="s">
        <v>410</v>
      </c>
      <c r="F196" t="str">
        <f>IF(G196=A,"Basic", IF(G196=D,"Standard", IF(G196=B,"Premium","Not Paid")))</f>
        <v>Standard</v>
      </c>
      <c r="G196" s="3" t="s">
        <v>413</v>
      </c>
      <c r="H196" t="str" cm="1">
        <f t="array" ref="H196">_xlfn.IFS(D196&gt;50,"Inactive",D196&lt;=50,"Active")</f>
        <v>Inactive</v>
      </c>
      <c r="I196" t="s">
        <v>414</v>
      </c>
    </row>
    <row r="197" spans="1:9" x14ac:dyDescent="0.3">
      <c r="A197" t="s">
        <v>213</v>
      </c>
      <c r="B197" s="2">
        <v>45770</v>
      </c>
      <c r="C197" t="s">
        <v>405</v>
      </c>
      <c r="D197">
        <v>47</v>
      </c>
      <c r="E197" t="s">
        <v>410</v>
      </c>
      <c r="F197" t="str">
        <f>IF(G197=A,"Basic", IF(G197=D,"Standard", IF(G197=B,"Premium","Not Paid")))</f>
        <v>Basic</v>
      </c>
      <c r="G197" s="3" t="s">
        <v>411</v>
      </c>
      <c r="H197" t="str" cm="1">
        <f t="array" ref="H197">_xlfn.IFS(D197&gt;50,"Inactive",D197&lt;=50,"Active")</f>
        <v>Active</v>
      </c>
      <c r="I197" t="s">
        <v>414</v>
      </c>
    </row>
    <row r="198" spans="1:9" x14ac:dyDescent="0.3">
      <c r="A198" t="s">
        <v>214</v>
      </c>
      <c r="B198" s="2">
        <v>45821</v>
      </c>
      <c r="C198" t="s">
        <v>406</v>
      </c>
      <c r="D198">
        <v>31</v>
      </c>
      <c r="E198" t="s">
        <v>409</v>
      </c>
      <c r="F198" t="str">
        <f>IF(G198=A,"Basic", IF(G198=D,"Standard", IF(G198=B,"Premium","Not Paid")))</f>
        <v>Premium</v>
      </c>
      <c r="G198" s="3" t="s">
        <v>412</v>
      </c>
      <c r="H198" t="str" cm="1">
        <f t="array" ref="H198">_xlfn.IFS(D198&gt;50,"Inactive",D198&lt;=50,"Active")</f>
        <v>Active</v>
      </c>
      <c r="I198" t="s">
        <v>414</v>
      </c>
    </row>
    <row r="199" spans="1:9" x14ac:dyDescent="0.3">
      <c r="A199" t="s">
        <v>215</v>
      </c>
      <c r="B199" s="2">
        <v>45622</v>
      </c>
      <c r="C199" t="s">
        <v>295</v>
      </c>
      <c r="D199">
        <v>59</v>
      </c>
      <c r="E199" t="s">
        <v>409</v>
      </c>
      <c r="F199" t="str">
        <f>IF(G199=A,"Basic", IF(G199=D,"Standard", IF(G199=B,"Premium","Not Paid")))</f>
        <v>Standard</v>
      </c>
      <c r="G199" s="3" t="s">
        <v>413</v>
      </c>
      <c r="H199" t="str" cm="1">
        <f t="array" ref="H199">_xlfn.IFS(D199&gt;50,"Inactive",D199&lt;=50,"Active")</f>
        <v>Inactive</v>
      </c>
      <c r="I199" t="s">
        <v>414</v>
      </c>
    </row>
    <row r="200" spans="1:9" x14ac:dyDescent="0.3">
      <c r="A200" t="s">
        <v>216</v>
      </c>
      <c r="B200" s="2">
        <v>45896</v>
      </c>
      <c r="C200" t="s">
        <v>407</v>
      </c>
      <c r="D200">
        <v>38</v>
      </c>
      <c r="E200" t="s">
        <v>410</v>
      </c>
      <c r="F200" t="str">
        <f>IF(G200=A,"Basic", IF(G200=D,"Standard", IF(G200=B,"Premium","Not Paid")))</f>
        <v>Basic</v>
      </c>
      <c r="G200" s="3" t="s">
        <v>411</v>
      </c>
      <c r="H200" t="str" cm="1">
        <f t="array" ref="H200">_xlfn.IFS(D200&gt;50,"Inactive",D200&lt;=50,"Active")</f>
        <v>Active</v>
      </c>
      <c r="I200" t="s">
        <v>414</v>
      </c>
    </row>
    <row r="201" spans="1:9" x14ac:dyDescent="0.3">
      <c r="A201" t="s">
        <v>217</v>
      </c>
      <c r="B201" s="2">
        <v>45490</v>
      </c>
      <c r="C201" t="s">
        <v>408</v>
      </c>
      <c r="D201">
        <v>48</v>
      </c>
      <c r="E201" t="s">
        <v>410</v>
      </c>
      <c r="F201" t="str">
        <f>IF(G201=A,"Basic", IF(G201=D,"Standard", IF(G201=B,"Premium","Not Paid")))</f>
        <v>Premium</v>
      </c>
      <c r="G201" s="3" t="s">
        <v>412</v>
      </c>
      <c r="H201" t="str" cm="1">
        <f t="array" ref="H201">_xlfn.IFS(D201&gt;50,"Inactive",D201&lt;=50,"Active")</f>
        <v>Active</v>
      </c>
      <c r="I201" t="s">
        <v>414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2DD0-2CFC-4D77-AD11-F14BCA3E1A81}">
  <dimension ref="A1:F201"/>
  <sheetViews>
    <sheetView workbookViewId="0">
      <selection activeCell="D2" sqref="D2"/>
    </sheetView>
  </sheetViews>
  <sheetFormatPr defaultRowHeight="14.4" x14ac:dyDescent="0.3"/>
  <cols>
    <col min="1" max="1" width="17.44140625" bestFit="1" customWidth="1"/>
    <col min="2" max="2" width="10.77734375" style="4" customWidth="1"/>
    <col min="3" max="3" width="15.44140625" customWidth="1"/>
    <col min="4" max="4" width="15.33203125" customWidth="1"/>
    <col min="5" max="5" width="14.6640625" customWidth="1"/>
    <col min="6" max="6" width="21.109375" customWidth="1"/>
  </cols>
  <sheetData>
    <row r="1" spans="1:6" ht="26.4" customHeight="1" x14ac:dyDescent="0.3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">
      <c r="A2" t="s">
        <v>415</v>
      </c>
      <c r="B2" s="4" t="s">
        <v>18</v>
      </c>
      <c r="C2" s="2">
        <f ca="1">RANDBETWEEN(DATE(2023,1,1), DATE(2025,12,31))</f>
        <v>45786</v>
      </c>
      <c r="D2" s="4" t="str">
        <f ca="1">TEXT(RANDBETWEEN(TIME(6,0,0)*86400, TIME(22,0,0)*86400)/86400,"hh:mm AM/PM")</f>
        <v>08:04 PM</v>
      </c>
      <c r="E2" s="4" t="str" cm="1">
        <f t="array" ref="E2">_xlfn.IFS(Membership_Data!D2&lt;=40,"Intense",Membership_Data!D2&gt;40,"Normal")</f>
        <v>Intense</v>
      </c>
      <c r="F2" t="str" cm="1">
        <f t="array" ref="F2">_xlfn.IFS(Membership_Data!D2&lt;=35,"90 Minutes",Membership_Data!D2&gt;=36,"50 Minutes")</f>
        <v>90 Minutes</v>
      </c>
    </row>
    <row r="3" spans="1:6" x14ac:dyDescent="0.3">
      <c r="A3" t="s">
        <v>416</v>
      </c>
      <c r="B3" s="4" t="s">
        <v>19</v>
      </c>
      <c r="C3" s="2">
        <f t="shared" ref="C3:C66" ca="1" si="0">RANDBETWEEN(DATE(2023,1,1), DATE(2025,12,31))</f>
        <v>45501</v>
      </c>
      <c r="D3" s="4" t="str">
        <f t="shared" ref="D3:D66" ca="1" si="1">TEXT(RANDBETWEEN(TIME(6,0,0)*86400, TIME(22,0,0)*86400)/86400,"hh:mm AM/PM")</f>
        <v>10:34 AM</v>
      </c>
      <c r="E3" s="4" t="str" cm="1">
        <f t="array" ref="E3">_xlfn.IFS(Membership_Data!D3&lt;=40,"Intense",Membership_Data!D3&gt;40,"Normal")</f>
        <v>Normal</v>
      </c>
      <c r="F3" t="str" cm="1">
        <f t="array" ref="F3">_xlfn.IFS(Membership_Data!D3&lt;=35,"90 Minutes",Membership_Data!D3&gt;=36,"50 Minutes")</f>
        <v>50 Minutes</v>
      </c>
    </row>
    <row r="4" spans="1:6" x14ac:dyDescent="0.3">
      <c r="A4" t="s">
        <v>417</v>
      </c>
      <c r="B4" s="4" t="s">
        <v>20</v>
      </c>
      <c r="C4" s="2">
        <f t="shared" ca="1" si="0"/>
        <v>45689</v>
      </c>
      <c r="D4" s="4" t="str">
        <f t="shared" ca="1" si="1"/>
        <v>09:57 PM</v>
      </c>
      <c r="E4" s="4" t="str" cm="1">
        <f t="array" ref="E4">_xlfn.IFS(Membership_Data!D4&lt;=40,"Intense",Membership_Data!D4&gt;40,"Normal")</f>
        <v>Intense</v>
      </c>
      <c r="F4" t="str" cm="1">
        <f t="array" ref="F4">_xlfn.IFS(Membership_Data!D4&lt;=35,"90 Minutes",Membership_Data!D4&gt;=36,"50 Minutes")</f>
        <v>50 Minutes</v>
      </c>
    </row>
    <row r="5" spans="1:6" x14ac:dyDescent="0.3">
      <c r="A5" t="s">
        <v>418</v>
      </c>
      <c r="B5" s="4" t="s">
        <v>21</v>
      </c>
      <c r="C5" s="2">
        <f t="shared" ca="1" si="0"/>
        <v>45942</v>
      </c>
      <c r="D5" s="4" t="str">
        <f t="shared" ca="1" si="1"/>
        <v>12:12 PM</v>
      </c>
      <c r="E5" s="4" t="str" cm="1">
        <f t="array" ref="E5">_xlfn.IFS(Membership_Data!D5&lt;=40,"Intense",Membership_Data!D5&gt;40,"Normal")</f>
        <v>Normal</v>
      </c>
      <c r="F5" t="str" cm="1">
        <f t="array" ref="F5">_xlfn.IFS(Membership_Data!D5&lt;=35,"90 Minutes",Membership_Data!D5&gt;=36,"50 Minutes")</f>
        <v>50 Minutes</v>
      </c>
    </row>
    <row r="6" spans="1:6" x14ac:dyDescent="0.3">
      <c r="A6" t="s">
        <v>419</v>
      </c>
      <c r="B6" s="4" t="s">
        <v>22</v>
      </c>
      <c r="C6" s="2">
        <f t="shared" ca="1" si="0"/>
        <v>45856</v>
      </c>
      <c r="D6" s="4" t="str">
        <f t="shared" ca="1" si="1"/>
        <v>01:32 PM</v>
      </c>
      <c r="E6" s="4" t="str" cm="1">
        <f t="array" ref="E6">_xlfn.IFS(Membership_Data!D6&lt;=40,"Intense",Membership_Data!D6&gt;40,"Normal")</f>
        <v>Normal</v>
      </c>
      <c r="F6" t="str" cm="1">
        <f t="array" ref="F6">_xlfn.IFS(Membership_Data!D6&lt;=35,"90 Minutes",Membership_Data!D6&gt;=36,"50 Minutes")</f>
        <v>50 Minutes</v>
      </c>
    </row>
    <row r="7" spans="1:6" x14ac:dyDescent="0.3">
      <c r="A7" t="s">
        <v>420</v>
      </c>
      <c r="B7" s="4" t="s">
        <v>23</v>
      </c>
      <c r="C7" s="2">
        <f t="shared" ca="1" si="0"/>
        <v>44970</v>
      </c>
      <c r="D7" s="4" t="str">
        <f t="shared" ca="1" si="1"/>
        <v>07:16 AM</v>
      </c>
      <c r="E7" s="4" t="str" cm="1">
        <f t="array" ref="E7">_xlfn.IFS(Membership_Data!D7&lt;=40,"Intense",Membership_Data!D7&gt;40,"Normal")</f>
        <v>Normal</v>
      </c>
      <c r="F7" t="str" cm="1">
        <f t="array" ref="F7">_xlfn.IFS(Membership_Data!D7&lt;=35,"90 Minutes",Membership_Data!D7&gt;=36,"50 Minutes")</f>
        <v>50 Minutes</v>
      </c>
    </row>
    <row r="8" spans="1:6" x14ac:dyDescent="0.3">
      <c r="A8" t="s">
        <v>421</v>
      </c>
      <c r="B8" s="4" t="s">
        <v>24</v>
      </c>
      <c r="C8" s="2">
        <f t="shared" ca="1" si="0"/>
        <v>45476</v>
      </c>
      <c r="D8" s="4" t="str">
        <f t="shared" ca="1" si="1"/>
        <v>07:47 AM</v>
      </c>
      <c r="E8" s="4" t="str" cm="1">
        <f t="array" ref="E8">_xlfn.IFS(Membership_Data!D8&lt;=40,"Intense",Membership_Data!D8&gt;40,"Normal")</f>
        <v>Intense</v>
      </c>
      <c r="F8" t="str" cm="1">
        <f t="array" ref="F8">_xlfn.IFS(Membership_Data!D8&lt;=35,"90 Minutes",Membership_Data!D8&gt;=36,"50 Minutes")</f>
        <v>90 Minutes</v>
      </c>
    </row>
    <row r="9" spans="1:6" x14ac:dyDescent="0.3">
      <c r="A9" t="s">
        <v>422</v>
      </c>
      <c r="B9" s="4" t="s">
        <v>25</v>
      </c>
      <c r="C9" s="2">
        <f t="shared" ca="1" si="0"/>
        <v>45143</v>
      </c>
      <c r="D9" s="4" t="str">
        <f t="shared" ca="1" si="1"/>
        <v>01:39 PM</v>
      </c>
      <c r="E9" s="4" t="str" cm="1">
        <f t="array" ref="E9">_xlfn.IFS(Membership_Data!D9&lt;=40,"Intense",Membership_Data!D9&gt;40,"Normal")</f>
        <v>Normal</v>
      </c>
      <c r="F9" t="str" cm="1">
        <f t="array" ref="F9">_xlfn.IFS(Membership_Data!D9&lt;=35,"90 Minutes",Membership_Data!D9&gt;=36,"50 Minutes")</f>
        <v>50 Minutes</v>
      </c>
    </row>
    <row r="10" spans="1:6" x14ac:dyDescent="0.3">
      <c r="A10" t="s">
        <v>423</v>
      </c>
      <c r="B10" s="4" t="s">
        <v>26</v>
      </c>
      <c r="C10" s="2">
        <f t="shared" ca="1" si="0"/>
        <v>45546</v>
      </c>
      <c r="D10" s="4" t="str">
        <f t="shared" ca="1" si="1"/>
        <v>05:13 PM</v>
      </c>
      <c r="E10" s="4" t="str" cm="1">
        <f t="array" ref="E10">_xlfn.IFS(Membership_Data!D10&lt;=40,"Intense",Membership_Data!D10&gt;40,"Normal")</f>
        <v>Normal</v>
      </c>
      <c r="F10" t="str" cm="1">
        <f t="array" ref="F10">_xlfn.IFS(Membership_Data!D10&lt;=35,"90 Minutes",Membership_Data!D10&gt;=36,"50 Minutes")</f>
        <v>50 Minutes</v>
      </c>
    </row>
    <row r="11" spans="1:6" x14ac:dyDescent="0.3">
      <c r="A11" t="s">
        <v>424</v>
      </c>
      <c r="B11" s="4" t="s">
        <v>27</v>
      </c>
      <c r="C11" s="2">
        <f t="shared" ca="1" si="0"/>
        <v>45190</v>
      </c>
      <c r="D11" s="4" t="str">
        <f t="shared" ca="1" si="1"/>
        <v>06:18 PM</v>
      </c>
      <c r="E11" s="4" t="str" cm="1">
        <f t="array" ref="E11">_xlfn.IFS(Membership_Data!D11&lt;=40,"Intense",Membership_Data!D11&gt;40,"Normal")</f>
        <v>Normal</v>
      </c>
      <c r="F11" t="str" cm="1">
        <f t="array" ref="F11">_xlfn.IFS(Membership_Data!D11&lt;=35,"90 Minutes",Membership_Data!D11&gt;=36,"50 Minutes")</f>
        <v>50 Minutes</v>
      </c>
    </row>
    <row r="12" spans="1:6" x14ac:dyDescent="0.3">
      <c r="A12" t="s">
        <v>425</v>
      </c>
      <c r="B12" s="4" t="s">
        <v>28</v>
      </c>
      <c r="C12" s="2">
        <f t="shared" ca="1" si="0"/>
        <v>45458</v>
      </c>
      <c r="D12" s="4" t="str">
        <f t="shared" ca="1" si="1"/>
        <v>11:45 AM</v>
      </c>
      <c r="E12" s="4" t="str" cm="1">
        <f t="array" ref="E12">_xlfn.IFS(Membership_Data!D12&lt;=40,"Intense",Membership_Data!D12&gt;40,"Normal")</f>
        <v>Normal</v>
      </c>
      <c r="F12" t="str" cm="1">
        <f t="array" ref="F12">_xlfn.IFS(Membership_Data!D12&lt;=35,"90 Minutes",Membership_Data!D12&gt;=36,"50 Minutes")</f>
        <v>50 Minutes</v>
      </c>
    </row>
    <row r="13" spans="1:6" x14ac:dyDescent="0.3">
      <c r="A13" t="s">
        <v>426</v>
      </c>
      <c r="B13" s="4" t="s">
        <v>29</v>
      </c>
      <c r="C13" s="2">
        <f t="shared" ca="1" si="0"/>
        <v>45223</v>
      </c>
      <c r="D13" s="4" t="str">
        <f t="shared" ca="1" si="1"/>
        <v>05:21 PM</v>
      </c>
      <c r="E13" s="4" t="str" cm="1">
        <f t="array" ref="E13">_xlfn.IFS(Membership_Data!D13&lt;=40,"Intense",Membership_Data!D13&gt;40,"Normal")</f>
        <v>Normal</v>
      </c>
      <c r="F13" t="str" cm="1">
        <f t="array" ref="F13">_xlfn.IFS(Membership_Data!D13&lt;=35,"90 Minutes",Membership_Data!D13&gt;=36,"50 Minutes")</f>
        <v>50 Minutes</v>
      </c>
    </row>
    <row r="14" spans="1:6" x14ac:dyDescent="0.3">
      <c r="A14" t="s">
        <v>427</v>
      </c>
      <c r="B14" s="4" t="s">
        <v>30</v>
      </c>
      <c r="C14" s="2">
        <f t="shared" ca="1" si="0"/>
        <v>45538</v>
      </c>
      <c r="D14" s="4" t="str">
        <f t="shared" ca="1" si="1"/>
        <v>09:49 AM</v>
      </c>
      <c r="E14" s="4" t="str" cm="1">
        <f t="array" ref="E14">_xlfn.IFS(Membership_Data!D14&lt;=40,"Intense",Membership_Data!D14&gt;40,"Normal")</f>
        <v>Intense</v>
      </c>
      <c r="F14" t="str" cm="1">
        <f t="array" ref="F14">_xlfn.IFS(Membership_Data!D14&lt;=35,"90 Minutes",Membership_Data!D14&gt;=36,"50 Minutes")</f>
        <v>90 Minutes</v>
      </c>
    </row>
    <row r="15" spans="1:6" x14ac:dyDescent="0.3">
      <c r="A15" t="s">
        <v>428</v>
      </c>
      <c r="B15" s="4" t="s">
        <v>31</v>
      </c>
      <c r="C15" s="2">
        <f t="shared" ca="1" si="0"/>
        <v>45573</v>
      </c>
      <c r="D15" s="4" t="str">
        <f t="shared" ca="1" si="1"/>
        <v>05:08 PM</v>
      </c>
      <c r="E15" s="4" t="str" cm="1">
        <f t="array" ref="E15">_xlfn.IFS(Membership_Data!D15&lt;=40,"Intense",Membership_Data!D15&gt;40,"Normal")</f>
        <v>Intense</v>
      </c>
      <c r="F15" t="str" cm="1">
        <f t="array" ref="F15">_xlfn.IFS(Membership_Data!D15&lt;=35,"90 Minutes",Membership_Data!D15&gt;=36,"50 Minutes")</f>
        <v>50 Minutes</v>
      </c>
    </row>
    <row r="16" spans="1:6" x14ac:dyDescent="0.3">
      <c r="A16" t="s">
        <v>429</v>
      </c>
      <c r="B16" s="4" t="s">
        <v>32</v>
      </c>
      <c r="C16" s="2">
        <f t="shared" ca="1" si="0"/>
        <v>45314</v>
      </c>
      <c r="D16" s="4" t="str">
        <f t="shared" ca="1" si="1"/>
        <v>04:53 PM</v>
      </c>
      <c r="E16" s="4" t="str" cm="1">
        <f t="array" ref="E16">_xlfn.IFS(Membership_Data!D16&lt;=40,"Intense",Membership_Data!D16&gt;40,"Normal")</f>
        <v>Normal</v>
      </c>
      <c r="F16" t="str" cm="1">
        <f t="array" ref="F16">_xlfn.IFS(Membership_Data!D16&lt;=35,"90 Minutes",Membership_Data!D16&gt;=36,"50 Minutes")</f>
        <v>50 Minutes</v>
      </c>
    </row>
    <row r="17" spans="1:6" x14ac:dyDescent="0.3">
      <c r="A17" t="s">
        <v>430</v>
      </c>
      <c r="B17" s="4" t="s">
        <v>33</v>
      </c>
      <c r="C17" s="2">
        <f t="shared" ca="1" si="0"/>
        <v>45058</v>
      </c>
      <c r="D17" s="4" t="str">
        <f t="shared" ca="1" si="1"/>
        <v>09:05 PM</v>
      </c>
      <c r="E17" s="4" t="str" cm="1">
        <f t="array" ref="E17">_xlfn.IFS(Membership_Data!D17&lt;=40,"Intense",Membership_Data!D17&gt;40,"Normal")</f>
        <v>Normal</v>
      </c>
      <c r="F17" t="str" cm="1">
        <f t="array" ref="F17">_xlfn.IFS(Membership_Data!D17&lt;=35,"90 Minutes",Membership_Data!D17&gt;=36,"50 Minutes")</f>
        <v>50 Minutes</v>
      </c>
    </row>
    <row r="18" spans="1:6" x14ac:dyDescent="0.3">
      <c r="A18" t="s">
        <v>431</v>
      </c>
      <c r="B18" s="4" t="s">
        <v>34</v>
      </c>
      <c r="C18" s="2">
        <f t="shared" ca="1" si="0"/>
        <v>45441</v>
      </c>
      <c r="D18" s="4" t="str">
        <f t="shared" ca="1" si="1"/>
        <v>10:34 AM</v>
      </c>
      <c r="E18" s="4" t="str" cm="1">
        <f t="array" ref="E18">_xlfn.IFS(Membership_Data!D18&lt;=40,"Intense",Membership_Data!D18&gt;40,"Normal")</f>
        <v>Intense</v>
      </c>
      <c r="F18" t="str" cm="1">
        <f t="array" ref="F18">_xlfn.IFS(Membership_Data!D18&lt;=35,"90 Minutes",Membership_Data!D18&gt;=36,"50 Minutes")</f>
        <v>50 Minutes</v>
      </c>
    </row>
    <row r="19" spans="1:6" x14ac:dyDescent="0.3">
      <c r="A19" t="s">
        <v>432</v>
      </c>
      <c r="B19" s="4" t="s">
        <v>35</v>
      </c>
      <c r="C19" s="2">
        <f t="shared" ca="1" si="0"/>
        <v>45222</v>
      </c>
      <c r="D19" s="4" t="str">
        <f t="shared" ca="1" si="1"/>
        <v>12:15 PM</v>
      </c>
      <c r="E19" s="4" t="str" cm="1">
        <f t="array" ref="E19">_xlfn.IFS(Membership_Data!D19&lt;=40,"Intense",Membership_Data!D19&gt;40,"Normal")</f>
        <v>Intense</v>
      </c>
      <c r="F19" t="str" cm="1">
        <f t="array" ref="F19">_xlfn.IFS(Membership_Data!D19&lt;=35,"90 Minutes",Membership_Data!D19&gt;=36,"50 Minutes")</f>
        <v>90 Minutes</v>
      </c>
    </row>
    <row r="20" spans="1:6" x14ac:dyDescent="0.3">
      <c r="A20" t="s">
        <v>433</v>
      </c>
      <c r="B20" s="4" t="s">
        <v>36</v>
      </c>
      <c r="C20" s="2">
        <f t="shared" ca="1" si="0"/>
        <v>46013</v>
      </c>
      <c r="D20" s="4" t="str">
        <f t="shared" ca="1" si="1"/>
        <v>08:27 AM</v>
      </c>
      <c r="E20" s="4" t="str" cm="1">
        <f t="array" ref="E20">_xlfn.IFS(Membership_Data!D20&lt;=40,"Intense",Membership_Data!D20&gt;40,"Normal")</f>
        <v>Intense</v>
      </c>
      <c r="F20" t="str" cm="1">
        <f t="array" ref="F20">_xlfn.IFS(Membership_Data!D20&lt;=35,"90 Minutes",Membership_Data!D20&gt;=36,"50 Minutes")</f>
        <v>90 Minutes</v>
      </c>
    </row>
    <row r="21" spans="1:6" x14ac:dyDescent="0.3">
      <c r="A21" t="s">
        <v>434</v>
      </c>
      <c r="B21" s="4" t="s">
        <v>37</v>
      </c>
      <c r="C21" s="2">
        <f t="shared" ca="1" si="0"/>
        <v>44961</v>
      </c>
      <c r="D21" s="4" t="str">
        <f t="shared" ca="1" si="1"/>
        <v>08:15 AM</v>
      </c>
      <c r="E21" s="4" t="str" cm="1">
        <f t="array" ref="E21">_xlfn.IFS(Membership_Data!D21&lt;=40,"Intense",Membership_Data!D21&gt;40,"Normal")</f>
        <v>Intense</v>
      </c>
      <c r="F21" t="str" cm="1">
        <f t="array" ref="F21">_xlfn.IFS(Membership_Data!D21&lt;=35,"90 Minutes",Membership_Data!D21&gt;=36,"50 Minutes")</f>
        <v>90 Minutes</v>
      </c>
    </row>
    <row r="22" spans="1:6" x14ac:dyDescent="0.3">
      <c r="A22" t="s">
        <v>435</v>
      </c>
      <c r="B22" s="4" t="s">
        <v>38</v>
      </c>
      <c r="C22" s="2">
        <f t="shared" ca="1" si="0"/>
        <v>45363</v>
      </c>
      <c r="D22" s="4" t="str">
        <f t="shared" ca="1" si="1"/>
        <v>07:32 PM</v>
      </c>
      <c r="E22" s="4" t="str" cm="1">
        <f t="array" ref="E22">_xlfn.IFS(Membership_Data!D22&lt;=40,"Intense",Membership_Data!D22&gt;40,"Normal")</f>
        <v>Intense</v>
      </c>
      <c r="F22" t="str" cm="1">
        <f t="array" ref="F22">_xlfn.IFS(Membership_Data!D22&lt;=35,"90 Minutes",Membership_Data!D22&gt;=36,"50 Minutes")</f>
        <v>90 Minutes</v>
      </c>
    </row>
    <row r="23" spans="1:6" x14ac:dyDescent="0.3">
      <c r="A23" t="s">
        <v>436</v>
      </c>
      <c r="B23" s="4" t="s">
        <v>39</v>
      </c>
      <c r="C23" s="2">
        <f t="shared" ca="1" si="0"/>
        <v>45698</v>
      </c>
      <c r="D23" s="4" t="str">
        <f t="shared" ca="1" si="1"/>
        <v>12:33 PM</v>
      </c>
      <c r="E23" s="4" t="str" cm="1">
        <f t="array" ref="E23">_xlfn.IFS(Membership_Data!D23&lt;=40,"Intense",Membership_Data!D23&gt;40,"Normal")</f>
        <v>Normal</v>
      </c>
      <c r="F23" t="str" cm="1">
        <f t="array" ref="F23">_xlfn.IFS(Membership_Data!D23&lt;=35,"90 Minutes",Membership_Data!D23&gt;=36,"50 Minutes")</f>
        <v>50 Minutes</v>
      </c>
    </row>
    <row r="24" spans="1:6" x14ac:dyDescent="0.3">
      <c r="A24" t="s">
        <v>437</v>
      </c>
      <c r="B24" s="4" t="s">
        <v>40</v>
      </c>
      <c r="C24" s="2">
        <f t="shared" ca="1" si="0"/>
        <v>45082</v>
      </c>
      <c r="D24" s="4" t="str">
        <f t="shared" ca="1" si="1"/>
        <v>06:02 AM</v>
      </c>
      <c r="E24" s="4" t="str" cm="1">
        <f t="array" ref="E24">_xlfn.IFS(Membership_Data!D24&lt;=40,"Intense",Membership_Data!D24&gt;40,"Normal")</f>
        <v>Normal</v>
      </c>
      <c r="F24" t="str" cm="1">
        <f t="array" ref="F24">_xlfn.IFS(Membership_Data!D24&lt;=35,"90 Minutes",Membership_Data!D24&gt;=36,"50 Minutes")</f>
        <v>50 Minutes</v>
      </c>
    </row>
    <row r="25" spans="1:6" x14ac:dyDescent="0.3">
      <c r="A25" t="s">
        <v>438</v>
      </c>
      <c r="B25" s="4" t="s">
        <v>41</v>
      </c>
      <c r="C25" s="2">
        <f t="shared" ca="1" si="0"/>
        <v>45643</v>
      </c>
      <c r="D25" s="4" t="str">
        <f t="shared" ca="1" si="1"/>
        <v>06:16 AM</v>
      </c>
      <c r="E25" s="4" t="str" cm="1">
        <f t="array" ref="E25">_xlfn.IFS(Membership_Data!D25&lt;=40,"Intense",Membership_Data!D25&gt;40,"Normal")</f>
        <v>Intense</v>
      </c>
      <c r="F25" t="str" cm="1">
        <f t="array" ref="F25">_xlfn.IFS(Membership_Data!D25&lt;=35,"90 Minutes",Membership_Data!D25&gt;=36,"50 Minutes")</f>
        <v>90 Minutes</v>
      </c>
    </row>
    <row r="26" spans="1:6" x14ac:dyDescent="0.3">
      <c r="A26" t="s">
        <v>439</v>
      </c>
      <c r="B26" s="4" t="s">
        <v>42</v>
      </c>
      <c r="C26" s="2">
        <f t="shared" ca="1" si="0"/>
        <v>45314</v>
      </c>
      <c r="D26" s="4" t="str">
        <f t="shared" ca="1" si="1"/>
        <v>07:27 AM</v>
      </c>
      <c r="E26" s="4" t="str" cm="1">
        <f t="array" ref="E26">_xlfn.IFS(Membership_Data!D26&lt;=40,"Intense",Membership_Data!D26&gt;40,"Normal")</f>
        <v>Normal</v>
      </c>
      <c r="F26" t="str" cm="1">
        <f t="array" ref="F26">_xlfn.IFS(Membership_Data!D26&lt;=35,"90 Minutes",Membership_Data!D26&gt;=36,"50 Minutes")</f>
        <v>50 Minutes</v>
      </c>
    </row>
    <row r="27" spans="1:6" x14ac:dyDescent="0.3">
      <c r="A27" t="s">
        <v>440</v>
      </c>
      <c r="B27" s="4" t="s">
        <v>43</v>
      </c>
      <c r="C27" s="2">
        <f t="shared" ca="1" si="0"/>
        <v>45392</v>
      </c>
      <c r="D27" s="4" t="str">
        <f t="shared" ca="1" si="1"/>
        <v>10:43 AM</v>
      </c>
      <c r="E27" s="4" t="str" cm="1">
        <f t="array" ref="E27">_xlfn.IFS(Membership_Data!D27&lt;=40,"Intense",Membership_Data!D27&gt;40,"Normal")</f>
        <v>Normal</v>
      </c>
      <c r="F27" t="str" cm="1">
        <f t="array" ref="F27">_xlfn.IFS(Membership_Data!D27&lt;=35,"90 Minutes",Membership_Data!D27&gt;=36,"50 Minutes")</f>
        <v>50 Minutes</v>
      </c>
    </row>
    <row r="28" spans="1:6" x14ac:dyDescent="0.3">
      <c r="A28" t="s">
        <v>441</v>
      </c>
      <c r="B28" s="4" t="s">
        <v>44</v>
      </c>
      <c r="C28" s="2">
        <f t="shared" ca="1" si="0"/>
        <v>45704</v>
      </c>
      <c r="D28" s="4" t="str">
        <f t="shared" ca="1" si="1"/>
        <v>09:29 PM</v>
      </c>
      <c r="E28" s="4" t="str" cm="1">
        <f t="array" ref="E28">_xlfn.IFS(Membership_Data!D28&lt;=40,"Intense",Membership_Data!D28&gt;40,"Normal")</f>
        <v>Intense</v>
      </c>
      <c r="F28" t="str" cm="1">
        <f t="array" ref="F28">_xlfn.IFS(Membership_Data!D28&lt;=35,"90 Minutes",Membership_Data!D28&gt;=36,"50 Minutes")</f>
        <v>90 Minutes</v>
      </c>
    </row>
    <row r="29" spans="1:6" x14ac:dyDescent="0.3">
      <c r="A29" t="s">
        <v>442</v>
      </c>
      <c r="B29" s="4" t="s">
        <v>45</v>
      </c>
      <c r="C29" s="2">
        <f t="shared" ca="1" si="0"/>
        <v>45043</v>
      </c>
      <c r="D29" s="4" t="str">
        <f t="shared" ca="1" si="1"/>
        <v>03:33 PM</v>
      </c>
      <c r="E29" s="4" t="str" cm="1">
        <f t="array" ref="E29">_xlfn.IFS(Membership_Data!D29&lt;=40,"Intense",Membership_Data!D29&gt;40,"Normal")</f>
        <v>Normal</v>
      </c>
      <c r="F29" t="str" cm="1">
        <f t="array" ref="F29">_xlfn.IFS(Membership_Data!D29&lt;=35,"90 Minutes",Membership_Data!D29&gt;=36,"50 Minutes")</f>
        <v>50 Minutes</v>
      </c>
    </row>
    <row r="30" spans="1:6" x14ac:dyDescent="0.3">
      <c r="A30" t="s">
        <v>443</v>
      </c>
      <c r="B30" s="4" t="s">
        <v>46</v>
      </c>
      <c r="C30" s="2">
        <f t="shared" ca="1" si="0"/>
        <v>44943</v>
      </c>
      <c r="D30" s="4" t="str">
        <f t="shared" ca="1" si="1"/>
        <v>08:33 PM</v>
      </c>
      <c r="E30" s="4" t="str" cm="1">
        <f t="array" ref="E30">_xlfn.IFS(Membership_Data!D30&lt;=40,"Intense",Membership_Data!D30&gt;40,"Normal")</f>
        <v>Intense</v>
      </c>
      <c r="F30" t="str" cm="1">
        <f t="array" ref="F30">_xlfn.IFS(Membership_Data!D30&lt;=35,"90 Minutes",Membership_Data!D30&gt;=36,"50 Minutes")</f>
        <v>90 Minutes</v>
      </c>
    </row>
    <row r="31" spans="1:6" x14ac:dyDescent="0.3">
      <c r="A31" t="s">
        <v>444</v>
      </c>
      <c r="B31" s="4" t="s">
        <v>47</v>
      </c>
      <c r="C31" s="2">
        <f t="shared" ca="1" si="0"/>
        <v>45238</v>
      </c>
      <c r="D31" s="4" t="str">
        <f t="shared" ca="1" si="1"/>
        <v>08:34 PM</v>
      </c>
      <c r="E31" s="4" t="str" cm="1">
        <f t="array" ref="E31">_xlfn.IFS(Membership_Data!D31&lt;=40,"Intense",Membership_Data!D31&gt;40,"Normal")</f>
        <v>Normal</v>
      </c>
      <c r="F31" t="str" cm="1">
        <f t="array" ref="F31">_xlfn.IFS(Membership_Data!D31&lt;=35,"90 Minutes",Membership_Data!D31&gt;=36,"50 Minutes")</f>
        <v>50 Minutes</v>
      </c>
    </row>
    <row r="32" spans="1:6" x14ac:dyDescent="0.3">
      <c r="A32" t="s">
        <v>445</v>
      </c>
      <c r="B32" s="4" t="s">
        <v>48</v>
      </c>
      <c r="C32" s="2">
        <f t="shared" ca="1" si="0"/>
        <v>45263</v>
      </c>
      <c r="D32" s="4" t="str">
        <f t="shared" ca="1" si="1"/>
        <v>06:18 PM</v>
      </c>
      <c r="E32" s="4" t="str" cm="1">
        <f t="array" ref="E32">_xlfn.IFS(Membership_Data!D32&lt;=40,"Intense",Membership_Data!D32&gt;40,"Normal")</f>
        <v>Intense</v>
      </c>
      <c r="F32" t="str" cm="1">
        <f t="array" ref="F32">_xlfn.IFS(Membership_Data!D32&lt;=35,"90 Minutes",Membership_Data!D32&gt;=36,"50 Minutes")</f>
        <v>50 Minutes</v>
      </c>
    </row>
    <row r="33" spans="1:6" x14ac:dyDescent="0.3">
      <c r="A33" t="s">
        <v>446</v>
      </c>
      <c r="B33" s="4" t="s">
        <v>49</v>
      </c>
      <c r="C33" s="2">
        <f t="shared" ca="1" si="0"/>
        <v>45926</v>
      </c>
      <c r="D33" s="4" t="str">
        <f t="shared" ca="1" si="1"/>
        <v>11:37 AM</v>
      </c>
      <c r="E33" s="4" t="str" cm="1">
        <f t="array" ref="E33">_xlfn.IFS(Membership_Data!D33&lt;=40,"Intense",Membership_Data!D33&gt;40,"Normal")</f>
        <v>Normal</v>
      </c>
      <c r="F33" t="str" cm="1">
        <f t="array" ref="F33">_xlfn.IFS(Membership_Data!D33&lt;=35,"90 Minutes",Membership_Data!D33&gt;=36,"50 Minutes")</f>
        <v>50 Minutes</v>
      </c>
    </row>
    <row r="34" spans="1:6" x14ac:dyDescent="0.3">
      <c r="A34" t="s">
        <v>447</v>
      </c>
      <c r="B34" s="4" t="s">
        <v>50</v>
      </c>
      <c r="C34" s="2">
        <f t="shared" ca="1" si="0"/>
        <v>45725</v>
      </c>
      <c r="D34" s="4" t="str">
        <f t="shared" ca="1" si="1"/>
        <v>03:58 PM</v>
      </c>
      <c r="E34" s="4" t="str" cm="1">
        <f t="array" ref="E34">_xlfn.IFS(Membership_Data!D34&lt;=40,"Intense",Membership_Data!D34&gt;40,"Normal")</f>
        <v>Intense</v>
      </c>
      <c r="F34" t="str" cm="1">
        <f t="array" ref="F34">_xlfn.IFS(Membership_Data!D34&lt;=35,"90 Minutes",Membership_Data!D34&gt;=36,"50 Minutes")</f>
        <v>90 Minutes</v>
      </c>
    </row>
    <row r="35" spans="1:6" x14ac:dyDescent="0.3">
      <c r="A35" t="s">
        <v>448</v>
      </c>
      <c r="B35" s="4" t="s">
        <v>51</v>
      </c>
      <c r="C35" s="2">
        <f t="shared" ca="1" si="0"/>
        <v>45229</v>
      </c>
      <c r="D35" s="4" t="str">
        <f t="shared" ca="1" si="1"/>
        <v>01:14 PM</v>
      </c>
      <c r="E35" s="4" t="str" cm="1">
        <f t="array" ref="E35">_xlfn.IFS(Membership_Data!D35&lt;=40,"Intense",Membership_Data!D35&gt;40,"Normal")</f>
        <v>Normal</v>
      </c>
      <c r="F35" t="str" cm="1">
        <f t="array" ref="F35">_xlfn.IFS(Membership_Data!D35&lt;=35,"90 Minutes",Membership_Data!D35&gt;=36,"50 Minutes")</f>
        <v>50 Minutes</v>
      </c>
    </row>
    <row r="36" spans="1:6" x14ac:dyDescent="0.3">
      <c r="A36" t="s">
        <v>449</v>
      </c>
      <c r="B36" s="4" t="s">
        <v>52</v>
      </c>
      <c r="C36" s="2">
        <f t="shared" ca="1" si="0"/>
        <v>45357</v>
      </c>
      <c r="D36" s="4" t="str">
        <f t="shared" ca="1" si="1"/>
        <v>12:55 PM</v>
      </c>
      <c r="E36" s="4" t="str" cm="1">
        <f t="array" ref="E36">_xlfn.IFS(Membership_Data!D36&lt;=40,"Intense",Membership_Data!D36&gt;40,"Normal")</f>
        <v>Normal</v>
      </c>
      <c r="F36" t="str" cm="1">
        <f t="array" ref="F36">_xlfn.IFS(Membership_Data!D36&lt;=35,"90 Minutes",Membership_Data!D36&gt;=36,"50 Minutes")</f>
        <v>50 Minutes</v>
      </c>
    </row>
    <row r="37" spans="1:6" x14ac:dyDescent="0.3">
      <c r="A37" t="s">
        <v>450</v>
      </c>
      <c r="B37" s="4" t="s">
        <v>53</v>
      </c>
      <c r="C37" s="2">
        <f t="shared" ca="1" si="0"/>
        <v>45277</v>
      </c>
      <c r="D37" s="4" t="str">
        <f t="shared" ca="1" si="1"/>
        <v>07:14 AM</v>
      </c>
      <c r="E37" s="4" t="str" cm="1">
        <f t="array" ref="E37">_xlfn.IFS(Membership_Data!D37&lt;=40,"Intense",Membership_Data!D37&gt;40,"Normal")</f>
        <v>Intense</v>
      </c>
      <c r="F37" t="str" cm="1">
        <f t="array" ref="F37">_xlfn.IFS(Membership_Data!D37&lt;=35,"90 Minutes",Membership_Data!D37&gt;=36,"50 Minutes")</f>
        <v>90 Minutes</v>
      </c>
    </row>
    <row r="38" spans="1:6" x14ac:dyDescent="0.3">
      <c r="A38" t="s">
        <v>451</v>
      </c>
      <c r="B38" s="4" t="s">
        <v>54</v>
      </c>
      <c r="C38" s="2">
        <f t="shared" ca="1" si="0"/>
        <v>45307</v>
      </c>
      <c r="D38" s="4" t="str">
        <f t="shared" ca="1" si="1"/>
        <v>07:48 AM</v>
      </c>
      <c r="E38" s="4" t="str" cm="1">
        <f t="array" ref="E38">_xlfn.IFS(Membership_Data!D38&lt;=40,"Intense",Membership_Data!D38&gt;40,"Normal")</f>
        <v>Normal</v>
      </c>
      <c r="F38" t="str" cm="1">
        <f t="array" ref="F38">_xlfn.IFS(Membership_Data!D38&lt;=35,"90 Minutes",Membership_Data!D38&gt;=36,"50 Minutes")</f>
        <v>50 Minutes</v>
      </c>
    </row>
    <row r="39" spans="1:6" x14ac:dyDescent="0.3">
      <c r="A39" t="s">
        <v>452</v>
      </c>
      <c r="B39" s="4" t="s">
        <v>55</v>
      </c>
      <c r="C39" s="2">
        <f t="shared" ca="1" si="0"/>
        <v>45043</v>
      </c>
      <c r="D39" s="4" t="str">
        <f t="shared" ca="1" si="1"/>
        <v>06:24 PM</v>
      </c>
      <c r="E39" s="4" t="str" cm="1">
        <f t="array" ref="E39">_xlfn.IFS(Membership_Data!D39&lt;=40,"Intense",Membership_Data!D39&gt;40,"Normal")</f>
        <v>Normal</v>
      </c>
      <c r="F39" t="str" cm="1">
        <f t="array" ref="F39">_xlfn.IFS(Membership_Data!D39&lt;=35,"90 Minutes",Membership_Data!D39&gt;=36,"50 Minutes")</f>
        <v>50 Minutes</v>
      </c>
    </row>
    <row r="40" spans="1:6" x14ac:dyDescent="0.3">
      <c r="A40" t="s">
        <v>453</v>
      </c>
      <c r="B40" s="4" t="s">
        <v>56</v>
      </c>
      <c r="C40" s="2">
        <f t="shared" ca="1" si="0"/>
        <v>45190</v>
      </c>
      <c r="D40" s="4" t="str">
        <f t="shared" ca="1" si="1"/>
        <v>11:16 AM</v>
      </c>
      <c r="E40" s="4" t="str" cm="1">
        <f t="array" ref="E40">_xlfn.IFS(Membership_Data!D40&lt;=40,"Intense",Membership_Data!D40&gt;40,"Normal")</f>
        <v>Normal</v>
      </c>
      <c r="F40" t="str" cm="1">
        <f t="array" ref="F40">_xlfn.IFS(Membership_Data!D40&lt;=35,"90 Minutes",Membership_Data!D40&gt;=36,"50 Minutes")</f>
        <v>50 Minutes</v>
      </c>
    </row>
    <row r="41" spans="1:6" x14ac:dyDescent="0.3">
      <c r="A41" t="s">
        <v>454</v>
      </c>
      <c r="B41" s="4" t="s">
        <v>57</v>
      </c>
      <c r="C41" s="2">
        <f t="shared" ca="1" si="0"/>
        <v>45837</v>
      </c>
      <c r="D41" s="4" t="str">
        <f t="shared" ca="1" si="1"/>
        <v>06:31 AM</v>
      </c>
      <c r="E41" s="4" t="str" cm="1">
        <f t="array" ref="E41">_xlfn.IFS(Membership_Data!D41&lt;=40,"Intense",Membership_Data!D41&gt;40,"Normal")</f>
        <v>Intense</v>
      </c>
      <c r="F41" t="str" cm="1">
        <f t="array" ref="F41">_xlfn.IFS(Membership_Data!D41&lt;=35,"90 Minutes",Membership_Data!D41&gt;=36,"50 Minutes")</f>
        <v>90 Minutes</v>
      </c>
    </row>
    <row r="42" spans="1:6" x14ac:dyDescent="0.3">
      <c r="A42" t="s">
        <v>455</v>
      </c>
      <c r="B42" s="4" t="s">
        <v>58</v>
      </c>
      <c r="C42" s="2">
        <f t="shared" ca="1" si="0"/>
        <v>44964</v>
      </c>
      <c r="D42" s="4" t="str">
        <f t="shared" ca="1" si="1"/>
        <v>11:47 AM</v>
      </c>
      <c r="E42" s="4" t="str" cm="1">
        <f t="array" ref="E42">_xlfn.IFS(Membership_Data!D42&lt;=40,"Intense",Membership_Data!D42&gt;40,"Normal")</f>
        <v>Normal</v>
      </c>
      <c r="F42" t="str" cm="1">
        <f t="array" ref="F42">_xlfn.IFS(Membership_Data!D42&lt;=35,"90 Minutes",Membership_Data!D42&gt;=36,"50 Minutes")</f>
        <v>50 Minutes</v>
      </c>
    </row>
    <row r="43" spans="1:6" x14ac:dyDescent="0.3">
      <c r="A43" t="s">
        <v>456</v>
      </c>
      <c r="B43" s="4" t="s">
        <v>59</v>
      </c>
      <c r="C43" s="2">
        <f t="shared" ca="1" si="0"/>
        <v>45523</v>
      </c>
      <c r="D43" s="4" t="str">
        <f t="shared" ca="1" si="1"/>
        <v>06:50 PM</v>
      </c>
      <c r="E43" s="4" t="str" cm="1">
        <f t="array" ref="E43">_xlfn.IFS(Membership_Data!D43&lt;=40,"Intense",Membership_Data!D43&gt;40,"Normal")</f>
        <v>Intense</v>
      </c>
      <c r="F43" t="str" cm="1">
        <f t="array" ref="F43">_xlfn.IFS(Membership_Data!D43&lt;=35,"90 Minutes",Membership_Data!D43&gt;=36,"50 Minutes")</f>
        <v>90 Minutes</v>
      </c>
    </row>
    <row r="44" spans="1:6" x14ac:dyDescent="0.3">
      <c r="A44" t="s">
        <v>457</v>
      </c>
      <c r="B44" s="4" t="s">
        <v>60</v>
      </c>
      <c r="C44" s="2">
        <f t="shared" ca="1" si="0"/>
        <v>45546</v>
      </c>
      <c r="D44" s="4" t="str">
        <f t="shared" ca="1" si="1"/>
        <v>04:59 PM</v>
      </c>
      <c r="E44" s="4" t="str" cm="1">
        <f t="array" ref="E44">_xlfn.IFS(Membership_Data!D44&lt;=40,"Intense",Membership_Data!D44&gt;40,"Normal")</f>
        <v>Normal</v>
      </c>
      <c r="F44" t="str" cm="1">
        <f t="array" ref="F44">_xlfn.IFS(Membership_Data!D44&lt;=35,"90 Minutes",Membership_Data!D44&gt;=36,"50 Minutes")</f>
        <v>50 Minutes</v>
      </c>
    </row>
    <row r="45" spans="1:6" x14ac:dyDescent="0.3">
      <c r="A45" t="s">
        <v>458</v>
      </c>
      <c r="B45" s="4" t="s">
        <v>61</v>
      </c>
      <c r="C45" s="2">
        <f t="shared" ca="1" si="0"/>
        <v>45145</v>
      </c>
      <c r="D45" s="4" t="str">
        <f t="shared" ca="1" si="1"/>
        <v>10:43 AM</v>
      </c>
      <c r="E45" s="4" t="str" cm="1">
        <f t="array" ref="E45">_xlfn.IFS(Membership_Data!D45&lt;=40,"Intense",Membership_Data!D45&gt;40,"Normal")</f>
        <v>Intense</v>
      </c>
      <c r="F45" t="str" cm="1">
        <f t="array" ref="F45">_xlfn.IFS(Membership_Data!D45&lt;=35,"90 Minutes",Membership_Data!D45&gt;=36,"50 Minutes")</f>
        <v>90 Minutes</v>
      </c>
    </row>
    <row r="46" spans="1:6" x14ac:dyDescent="0.3">
      <c r="A46" t="s">
        <v>459</v>
      </c>
      <c r="B46" s="4" t="s">
        <v>62</v>
      </c>
      <c r="C46" s="2">
        <f t="shared" ca="1" si="0"/>
        <v>44962</v>
      </c>
      <c r="D46" s="4" t="str">
        <f t="shared" ca="1" si="1"/>
        <v>08:35 PM</v>
      </c>
      <c r="E46" s="4" t="str" cm="1">
        <f t="array" ref="E46">_xlfn.IFS(Membership_Data!D46&lt;=40,"Intense",Membership_Data!D46&gt;40,"Normal")</f>
        <v>Normal</v>
      </c>
      <c r="F46" t="str" cm="1">
        <f t="array" ref="F46">_xlfn.IFS(Membership_Data!D46&lt;=35,"90 Minutes",Membership_Data!D46&gt;=36,"50 Minutes")</f>
        <v>50 Minutes</v>
      </c>
    </row>
    <row r="47" spans="1:6" x14ac:dyDescent="0.3">
      <c r="A47" t="s">
        <v>460</v>
      </c>
      <c r="B47" s="4" t="s">
        <v>63</v>
      </c>
      <c r="C47" s="2">
        <f t="shared" ca="1" si="0"/>
        <v>45543</v>
      </c>
      <c r="D47" s="4" t="str">
        <f t="shared" ca="1" si="1"/>
        <v>03:58 PM</v>
      </c>
      <c r="E47" s="4" t="str" cm="1">
        <f t="array" ref="E47">_xlfn.IFS(Membership_Data!D47&lt;=40,"Intense",Membership_Data!D47&gt;40,"Normal")</f>
        <v>Normal</v>
      </c>
      <c r="F47" t="str" cm="1">
        <f t="array" ref="F47">_xlfn.IFS(Membership_Data!D47&lt;=35,"90 Minutes",Membership_Data!D47&gt;=36,"50 Minutes")</f>
        <v>50 Minutes</v>
      </c>
    </row>
    <row r="48" spans="1:6" x14ac:dyDescent="0.3">
      <c r="A48" t="s">
        <v>461</v>
      </c>
      <c r="B48" s="4" t="s">
        <v>64</v>
      </c>
      <c r="C48" s="2">
        <f t="shared" ca="1" si="0"/>
        <v>45887</v>
      </c>
      <c r="D48" s="4" t="str">
        <f t="shared" ca="1" si="1"/>
        <v>06:15 AM</v>
      </c>
      <c r="E48" s="4" t="str" cm="1">
        <f t="array" ref="E48">_xlfn.IFS(Membership_Data!D48&lt;=40,"Intense",Membership_Data!D48&gt;40,"Normal")</f>
        <v>Normal</v>
      </c>
      <c r="F48" t="str" cm="1">
        <f t="array" ref="F48">_xlfn.IFS(Membership_Data!D48&lt;=35,"90 Minutes",Membership_Data!D48&gt;=36,"50 Minutes")</f>
        <v>50 Minutes</v>
      </c>
    </row>
    <row r="49" spans="1:6" x14ac:dyDescent="0.3">
      <c r="A49" t="s">
        <v>462</v>
      </c>
      <c r="B49" s="4" t="s">
        <v>65</v>
      </c>
      <c r="C49" s="2">
        <f t="shared" ca="1" si="0"/>
        <v>45088</v>
      </c>
      <c r="D49" s="4" t="str">
        <f t="shared" ca="1" si="1"/>
        <v>03:31 PM</v>
      </c>
      <c r="E49" s="4" t="str" cm="1">
        <f t="array" ref="E49">_xlfn.IFS(Membership_Data!D49&lt;=40,"Intense",Membership_Data!D49&gt;40,"Normal")</f>
        <v>Normal</v>
      </c>
      <c r="F49" t="str" cm="1">
        <f t="array" ref="F49">_xlfn.IFS(Membership_Data!D49&lt;=35,"90 Minutes",Membership_Data!D49&gt;=36,"50 Minutes")</f>
        <v>50 Minutes</v>
      </c>
    </row>
    <row r="50" spans="1:6" x14ac:dyDescent="0.3">
      <c r="A50" t="s">
        <v>463</v>
      </c>
      <c r="B50" s="4" t="s">
        <v>66</v>
      </c>
      <c r="C50" s="2">
        <f t="shared" ca="1" si="0"/>
        <v>45259</v>
      </c>
      <c r="D50" s="4" t="str">
        <f t="shared" ca="1" si="1"/>
        <v>03:52 PM</v>
      </c>
      <c r="E50" s="4" t="str" cm="1">
        <f t="array" ref="E50">_xlfn.IFS(Membership_Data!D50&lt;=40,"Intense",Membership_Data!D50&gt;40,"Normal")</f>
        <v>Intense</v>
      </c>
      <c r="F50" t="str" cm="1">
        <f t="array" ref="F50">_xlfn.IFS(Membership_Data!D50&lt;=35,"90 Minutes",Membership_Data!D50&gt;=36,"50 Minutes")</f>
        <v>90 Minutes</v>
      </c>
    </row>
    <row r="51" spans="1:6" x14ac:dyDescent="0.3">
      <c r="A51" t="s">
        <v>464</v>
      </c>
      <c r="B51" s="4" t="s">
        <v>67</v>
      </c>
      <c r="C51" s="2">
        <f t="shared" ca="1" si="0"/>
        <v>45422</v>
      </c>
      <c r="D51" s="4" t="str">
        <f t="shared" ca="1" si="1"/>
        <v>08:21 AM</v>
      </c>
      <c r="E51" s="4" t="str" cm="1">
        <f t="array" ref="E51">_xlfn.IFS(Membership_Data!D51&lt;=40,"Intense",Membership_Data!D51&gt;40,"Normal")</f>
        <v>Normal</v>
      </c>
      <c r="F51" t="str" cm="1">
        <f t="array" ref="F51">_xlfn.IFS(Membership_Data!D51&lt;=35,"90 Minutes",Membership_Data!D51&gt;=36,"50 Minutes")</f>
        <v>50 Minutes</v>
      </c>
    </row>
    <row r="52" spans="1:6" x14ac:dyDescent="0.3">
      <c r="A52" t="s">
        <v>465</v>
      </c>
      <c r="B52" s="4" t="s">
        <v>68</v>
      </c>
      <c r="C52" s="2">
        <f t="shared" ca="1" si="0"/>
        <v>45089</v>
      </c>
      <c r="D52" s="4" t="str">
        <f t="shared" ca="1" si="1"/>
        <v>04:52 PM</v>
      </c>
      <c r="E52" s="4" t="str" cm="1">
        <f t="array" ref="E52">_xlfn.IFS(Membership_Data!D52&lt;=40,"Intense",Membership_Data!D52&gt;40,"Normal")</f>
        <v>Normal</v>
      </c>
      <c r="F52" t="str" cm="1">
        <f t="array" ref="F52">_xlfn.IFS(Membership_Data!D52&lt;=35,"90 Minutes",Membership_Data!D52&gt;=36,"50 Minutes")</f>
        <v>50 Minutes</v>
      </c>
    </row>
    <row r="53" spans="1:6" x14ac:dyDescent="0.3">
      <c r="A53" t="s">
        <v>466</v>
      </c>
      <c r="B53" s="4" t="s">
        <v>69</v>
      </c>
      <c r="C53" s="2">
        <f t="shared" ca="1" si="0"/>
        <v>45552</v>
      </c>
      <c r="D53" s="4" t="str">
        <f t="shared" ca="1" si="1"/>
        <v>01:59 PM</v>
      </c>
      <c r="E53" s="4" t="str" cm="1">
        <f t="array" ref="E53">_xlfn.IFS(Membership_Data!D53&lt;=40,"Intense",Membership_Data!D53&gt;40,"Normal")</f>
        <v>Normal</v>
      </c>
      <c r="F53" t="str" cm="1">
        <f t="array" ref="F53">_xlfn.IFS(Membership_Data!D53&lt;=35,"90 Minutes",Membership_Data!D53&gt;=36,"50 Minutes")</f>
        <v>50 Minutes</v>
      </c>
    </row>
    <row r="54" spans="1:6" x14ac:dyDescent="0.3">
      <c r="A54" t="s">
        <v>467</v>
      </c>
      <c r="B54" s="4" t="s">
        <v>70</v>
      </c>
      <c r="C54" s="2">
        <f t="shared" ca="1" si="0"/>
        <v>45474</v>
      </c>
      <c r="D54" s="4" t="str">
        <f t="shared" ca="1" si="1"/>
        <v>06:16 AM</v>
      </c>
      <c r="E54" s="4" t="str" cm="1">
        <f t="array" ref="E54">_xlfn.IFS(Membership_Data!D54&lt;=40,"Intense",Membership_Data!D54&gt;40,"Normal")</f>
        <v>Intense</v>
      </c>
      <c r="F54" t="str" cm="1">
        <f t="array" ref="F54">_xlfn.IFS(Membership_Data!D54&lt;=35,"90 Minutes",Membership_Data!D54&gt;=36,"50 Minutes")</f>
        <v>90 Minutes</v>
      </c>
    </row>
    <row r="55" spans="1:6" x14ac:dyDescent="0.3">
      <c r="A55" t="s">
        <v>468</v>
      </c>
      <c r="B55" s="4" t="s">
        <v>71</v>
      </c>
      <c r="C55" s="2">
        <f t="shared" ca="1" si="0"/>
        <v>45387</v>
      </c>
      <c r="D55" s="4" t="str">
        <f t="shared" ca="1" si="1"/>
        <v>08:16 AM</v>
      </c>
      <c r="E55" s="4" t="str" cm="1">
        <f t="array" ref="E55">_xlfn.IFS(Membership_Data!D55&lt;=40,"Intense",Membership_Data!D55&gt;40,"Normal")</f>
        <v>Intense</v>
      </c>
      <c r="F55" t="str" cm="1">
        <f t="array" ref="F55">_xlfn.IFS(Membership_Data!D55&lt;=35,"90 Minutes",Membership_Data!D55&gt;=36,"50 Minutes")</f>
        <v>50 Minutes</v>
      </c>
    </row>
    <row r="56" spans="1:6" x14ac:dyDescent="0.3">
      <c r="A56" t="s">
        <v>469</v>
      </c>
      <c r="B56" s="4" t="s">
        <v>72</v>
      </c>
      <c r="C56" s="2">
        <f t="shared" ca="1" si="0"/>
        <v>45381</v>
      </c>
      <c r="D56" s="4" t="str">
        <f t="shared" ca="1" si="1"/>
        <v>11:02 AM</v>
      </c>
      <c r="E56" s="4" t="str" cm="1">
        <f t="array" ref="E56">_xlfn.IFS(Membership_Data!D56&lt;=40,"Intense",Membership_Data!D56&gt;40,"Normal")</f>
        <v>Normal</v>
      </c>
      <c r="F56" t="str" cm="1">
        <f t="array" ref="F56">_xlfn.IFS(Membership_Data!D56&lt;=35,"90 Minutes",Membership_Data!D56&gt;=36,"50 Minutes")</f>
        <v>50 Minutes</v>
      </c>
    </row>
    <row r="57" spans="1:6" x14ac:dyDescent="0.3">
      <c r="A57" t="s">
        <v>470</v>
      </c>
      <c r="B57" s="4" t="s">
        <v>73</v>
      </c>
      <c r="C57" s="2">
        <f t="shared" ca="1" si="0"/>
        <v>45077</v>
      </c>
      <c r="D57" s="4" t="str">
        <f t="shared" ca="1" si="1"/>
        <v>08:32 AM</v>
      </c>
      <c r="E57" s="4" t="str" cm="1">
        <f t="array" ref="E57">_xlfn.IFS(Membership_Data!D57&lt;=40,"Intense",Membership_Data!D57&gt;40,"Normal")</f>
        <v>Normal</v>
      </c>
      <c r="F57" t="str" cm="1">
        <f t="array" ref="F57">_xlfn.IFS(Membership_Data!D57&lt;=35,"90 Minutes",Membership_Data!D57&gt;=36,"50 Minutes")</f>
        <v>50 Minutes</v>
      </c>
    </row>
    <row r="58" spans="1:6" x14ac:dyDescent="0.3">
      <c r="A58" t="s">
        <v>471</v>
      </c>
      <c r="B58" s="4" t="s">
        <v>74</v>
      </c>
      <c r="C58" s="2">
        <f t="shared" ca="1" si="0"/>
        <v>45380</v>
      </c>
      <c r="D58" s="4" t="str">
        <f t="shared" ca="1" si="1"/>
        <v>11:00 AM</v>
      </c>
      <c r="E58" s="4" t="str" cm="1">
        <f t="array" ref="E58">_xlfn.IFS(Membership_Data!D58&lt;=40,"Intense",Membership_Data!D58&gt;40,"Normal")</f>
        <v>Normal</v>
      </c>
      <c r="F58" t="str" cm="1">
        <f t="array" ref="F58">_xlfn.IFS(Membership_Data!D58&lt;=35,"90 Minutes",Membership_Data!D58&gt;=36,"50 Minutes")</f>
        <v>50 Minutes</v>
      </c>
    </row>
    <row r="59" spans="1:6" x14ac:dyDescent="0.3">
      <c r="A59" t="s">
        <v>472</v>
      </c>
      <c r="B59" s="4" t="s">
        <v>75</v>
      </c>
      <c r="C59" s="2">
        <f t="shared" ca="1" si="0"/>
        <v>45467</v>
      </c>
      <c r="D59" s="4" t="str">
        <f t="shared" ca="1" si="1"/>
        <v>10:39 AM</v>
      </c>
      <c r="E59" s="4" t="str" cm="1">
        <f t="array" ref="E59">_xlfn.IFS(Membership_Data!D59&lt;=40,"Intense",Membership_Data!D59&gt;40,"Normal")</f>
        <v>Normal</v>
      </c>
      <c r="F59" t="str" cm="1">
        <f t="array" ref="F59">_xlfn.IFS(Membership_Data!D59&lt;=35,"90 Minutes",Membership_Data!D59&gt;=36,"50 Minutes")</f>
        <v>50 Minutes</v>
      </c>
    </row>
    <row r="60" spans="1:6" x14ac:dyDescent="0.3">
      <c r="A60" t="s">
        <v>473</v>
      </c>
      <c r="B60" s="4" t="s">
        <v>76</v>
      </c>
      <c r="C60" s="2">
        <f t="shared" ca="1" si="0"/>
        <v>45280</v>
      </c>
      <c r="D60" s="4" t="str">
        <f t="shared" ca="1" si="1"/>
        <v>04:29 PM</v>
      </c>
      <c r="E60" s="4" t="str" cm="1">
        <f t="array" ref="E60">_xlfn.IFS(Membership_Data!D60&lt;=40,"Intense",Membership_Data!D60&gt;40,"Normal")</f>
        <v>Normal</v>
      </c>
      <c r="F60" t="str" cm="1">
        <f t="array" ref="F60">_xlfn.IFS(Membership_Data!D60&lt;=35,"90 Minutes",Membership_Data!D60&gt;=36,"50 Minutes")</f>
        <v>50 Minutes</v>
      </c>
    </row>
    <row r="61" spans="1:6" x14ac:dyDescent="0.3">
      <c r="A61" t="s">
        <v>474</v>
      </c>
      <c r="B61" s="4" t="s">
        <v>77</v>
      </c>
      <c r="C61" s="2">
        <f t="shared" ca="1" si="0"/>
        <v>45987</v>
      </c>
      <c r="D61" s="4" t="str">
        <f t="shared" ca="1" si="1"/>
        <v>08:44 PM</v>
      </c>
      <c r="E61" s="4" t="str" cm="1">
        <f t="array" ref="E61">_xlfn.IFS(Membership_Data!D61&lt;=40,"Intense",Membership_Data!D61&gt;40,"Normal")</f>
        <v>Intense</v>
      </c>
      <c r="F61" t="str" cm="1">
        <f t="array" ref="F61">_xlfn.IFS(Membership_Data!D61&lt;=35,"90 Minutes",Membership_Data!D61&gt;=36,"50 Minutes")</f>
        <v>50 Minutes</v>
      </c>
    </row>
    <row r="62" spans="1:6" x14ac:dyDescent="0.3">
      <c r="A62" t="s">
        <v>475</v>
      </c>
      <c r="B62" s="4" t="s">
        <v>78</v>
      </c>
      <c r="C62" s="2">
        <f t="shared" ca="1" si="0"/>
        <v>45751</v>
      </c>
      <c r="D62" s="4" t="str">
        <f t="shared" ca="1" si="1"/>
        <v>12:39 PM</v>
      </c>
      <c r="E62" s="4" t="str" cm="1">
        <f t="array" ref="E62">_xlfn.IFS(Membership_Data!D62&lt;=40,"Intense",Membership_Data!D62&gt;40,"Normal")</f>
        <v>Normal</v>
      </c>
      <c r="F62" t="str" cm="1">
        <f t="array" ref="F62">_xlfn.IFS(Membership_Data!D62&lt;=35,"90 Minutes",Membership_Data!D62&gt;=36,"50 Minutes")</f>
        <v>50 Minutes</v>
      </c>
    </row>
    <row r="63" spans="1:6" x14ac:dyDescent="0.3">
      <c r="A63" t="s">
        <v>476</v>
      </c>
      <c r="B63" s="4" t="s">
        <v>79</v>
      </c>
      <c r="C63" s="2">
        <f t="shared" ca="1" si="0"/>
        <v>45507</v>
      </c>
      <c r="D63" s="4" t="str">
        <f t="shared" ca="1" si="1"/>
        <v>03:29 PM</v>
      </c>
      <c r="E63" s="4" t="str" cm="1">
        <f t="array" ref="E63">_xlfn.IFS(Membership_Data!D63&lt;=40,"Intense",Membership_Data!D63&gt;40,"Normal")</f>
        <v>Intense</v>
      </c>
      <c r="F63" t="str" cm="1">
        <f t="array" ref="F63">_xlfn.IFS(Membership_Data!D63&lt;=35,"90 Minutes",Membership_Data!D63&gt;=36,"50 Minutes")</f>
        <v>90 Minutes</v>
      </c>
    </row>
    <row r="64" spans="1:6" x14ac:dyDescent="0.3">
      <c r="A64" t="s">
        <v>477</v>
      </c>
      <c r="B64" s="4" t="s">
        <v>80</v>
      </c>
      <c r="C64" s="2">
        <f t="shared" ca="1" si="0"/>
        <v>45961</v>
      </c>
      <c r="D64" s="4" t="str">
        <f t="shared" ca="1" si="1"/>
        <v>11:34 AM</v>
      </c>
      <c r="E64" s="4" t="str" cm="1">
        <f t="array" ref="E64">_xlfn.IFS(Membership_Data!D64&lt;=40,"Intense",Membership_Data!D64&gt;40,"Normal")</f>
        <v>Intense</v>
      </c>
      <c r="F64" t="str" cm="1">
        <f t="array" ref="F64">_xlfn.IFS(Membership_Data!D64&lt;=35,"90 Minutes",Membership_Data!D64&gt;=36,"50 Minutes")</f>
        <v>90 Minutes</v>
      </c>
    </row>
    <row r="65" spans="1:6" x14ac:dyDescent="0.3">
      <c r="A65" t="s">
        <v>478</v>
      </c>
      <c r="B65" s="4" t="s">
        <v>81</v>
      </c>
      <c r="C65" s="2">
        <f t="shared" ca="1" si="0"/>
        <v>45526</v>
      </c>
      <c r="D65" s="4" t="str">
        <f t="shared" ca="1" si="1"/>
        <v>08:58 AM</v>
      </c>
      <c r="E65" s="4" t="str" cm="1">
        <f t="array" ref="E65">_xlfn.IFS(Membership_Data!D65&lt;=40,"Intense",Membership_Data!D65&gt;40,"Normal")</f>
        <v>Intense</v>
      </c>
      <c r="F65" t="str" cm="1">
        <f t="array" ref="F65">_xlfn.IFS(Membership_Data!D65&lt;=35,"90 Minutes",Membership_Data!D65&gt;=36,"50 Minutes")</f>
        <v>90 Minutes</v>
      </c>
    </row>
    <row r="66" spans="1:6" x14ac:dyDescent="0.3">
      <c r="A66" t="s">
        <v>479</v>
      </c>
      <c r="B66" s="4" t="s">
        <v>82</v>
      </c>
      <c r="C66" s="2">
        <f t="shared" ca="1" si="0"/>
        <v>45609</v>
      </c>
      <c r="D66" s="4" t="str">
        <f t="shared" ca="1" si="1"/>
        <v>05:50 PM</v>
      </c>
      <c r="E66" s="4" t="str" cm="1">
        <f t="array" ref="E66">_xlfn.IFS(Membership_Data!D66&lt;=40,"Intense",Membership_Data!D66&gt;40,"Normal")</f>
        <v>Normal</v>
      </c>
      <c r="F66" t="str" cm="1">
        <f t="array" ref="F66">_xlfn.IFS(Membership_Data!D66&lt;=35,"90 Minutes",Membership_Data!D66&gt;=36,"50 Minutes")</f>
        <v>50 Minutes</v>
      </c>
    </row>
    <row r="67" spans="1:6" x14ac:dyDescent="0.3">
      <c r="A67" t="s">
        <v>480</v>
      </c>
      <c r="B67" s="4" t="s">
        <v>83</v>
      </c>
      <c r="C67" s="2">
        <f t="shared" ref="C67:C130" ca="1" si="2">RANDBETWEEN(DATE(2023,1,1), DATE(2025,12,31))</f>
        <v>45634</v>
      </c>
      <c r="D67" s="4" t="str">
        <f t="shared" ref="D67:D130" ca="1" si="3">TEXT(RANDBETWEEN(TIME(6,0,0)*86400, TIME(22,0,0)*86400)/86400,"hh:mm AM/PM")</f>
        <v>10:02 AM</v>
      </c>
      <c r="E67" s="4" t="str" cm="1">
        <f t="array" ref="E67">_xlfn.IFS(Membership_Data!D67&lt;=40,"Intense",Membership_Data!D67&gt;40,"Normal")</f>
        <v>Intense</v>
      </c>
      <c r="F67" t="str" cm="1">
        <f t="array" ref="F67">_xlfn.IFS(Membership_Data!D67&lt;=35,"90 Minutes",Membership_Data!D67&gt;=36,"50 Minutes")</f>
        <v>90 Minutes</v>
      </c>
    </row>
    <row r="68" spans="1:6" x14ac:dyDescent="0.3">
      <c r="A68" t="s">
        <v>481</v>
      </c>
      <c r="B68" s="4" t="s">
        <v>84</v>
      </c>
      <c r="C68" s="2">
        <f t="shared" ca="1" si="2"/>
        <v>45778</v>
      </c>
      <c r="D68" s="4" t="str">
        <f t="shared" ca="1" si="3"/>
        <v>06:40 PM</v>
      </c>
      <c r="E68" s="4" t="str" cm="1">
        <f t="array" ref="E68">_xlfn.IFS(Membership_Data!D68&lt;=40,"Intense",Membership_Data!D68&gt;40,"Normal")</f>
        <v>Normal</v>
      </c>
      <c r="F68" t="str" cm="1">
        <f t="array" ref="F68">_xlfn.IFS(Membership_Data!D68&lt;=35,"90 Minutes",Membership_Data!D68&gt;=36,"50 Minutes")</f>
        <v>50 Minutes</v>
      </c>
    </row>
    <row r="69" spans="1:6" x14ac:dyDescent="0.3">
      <c r="A69" t="s">
        <v>482</v>
      </c>
      <c r="B69" s="4" t="s">
        <v>85</v>
      </c>
      <c r="C69" s="2">
        <f t="shared" ca="1" si="2"/>
        <v>45200</v>
      </c>
      <c r="D69" s="4" t="str">
        <f t="shared" ca="1" si="3"/>
        <v>01:26 PM</v>
      </c>
      <c r="E69" s="4" t="str" cm="1">
        <f t="array" ref="E69">_xlfn.IFS(Membership_Data!D69&lt;=40,"Intense",Membership_Data!D69&gt;40,"Normal")</f>
        <v>Intense</v>
      </c>
      <c r="F69" t="str" cm="1">
        <f t="array" ref="F69">_xlfn.IFS(Membership_Data!D69&lt;=35,"90 Minutes",Membership_Data!D69&gt;=36,"50 Minutes")</f>
        <v>90 Minutes</v>
      </c>
    </row>
    <row r="70" spans="1:6" x14ac:dyDescent="0.3">
      <c r="A70" t="s">
        <v>483</v>
      </c>
      <c r="B70" s="4" t="s">
        <v>86</v>
      </c>
      <c r="C70" s="2">
        <f t="shared" ca="1" si="2"/>
        <v>44965</v>
      </c>
      <c r="D70" s="4" t="str">
        <f t="shared" ca="1" si="3"/>
        <v>08:27 AM</v>
      </c>
      <c r="E70" s="4" t="str" cm="1">
        <f t="array" ref="E70">_xlfn.IFS(Membership_Data!D70&lt;=40,"Intense",Membership_Data!D70&gt;40,"Normal")</f>
        <v>Intense</v>
      </c>
      <c r="F70" t="str" cm="1">
        <f t="array" ref="F70">_xlfn.IFS(Membership_Data!D70&lt;=35,"90 Minutes",Membership_Data!D70&gt;=36,"50 Minutes")</f>
        <v>90 Minutes</v>
      </c>
    </row>
    <row r="71" spans="1:6" x14ac:dyDescent="0.3">
      <c r="A71" t="s">
        <v>484</v>
      </c>
      <c r="B71" s="4" t="s">
        <v>87</v>
      </c>
      <c r="C71" s="2">
        <f t="shared" ca="1" si="2"/>
        <v>45198</v>
      </c>
      <c r="D71" s="4" t="str">
        <f t="shared" ca="1" si="3"/>
        <v>10:13 AM</v>
      </c>
      <c r="E71" s="4" t="str" cm="1">
        <f t="array" ref="E71">_xlfn.IFS(Membership_Data!D71&lt;=40,"Intense",Membership_Data!D71&gt;40,"Normal")</f>
        <v>Normal</v>
      </c>
      <c r="F71" t="str" cm="1">
        <f t="array" ref="F71">_xlfn.IFS(Membership_Data!D71&lt;=35,"90 Minutes",Membership_Data!D71&gt;=36,"50 Minutes")</f>
        <v>50 Minutes</v>
      </c>
    </row>
    <row r="72" spans="1:6" x14ac:dyDescent="0.3">
      <c r="A72" t="s">
        <v>485</v>
      </c>
      <c r="B72" s="4" t="s">
        <v>88</v>
      </c>
      <c r="C72" s="2">
        <f t="shared" ca="1" si="2"/>
        <v>45467</v>
      </c>
      <c r="D72" s="4" t="str">
        <f t="shared" ca="1" si="3"/>
        <v>10:36 AM</v>
      </c>
      <c r="E72" s="4" t="str" cm="1">
        <f t="array" ref="E72">_xlfn.IFS(Membership_Data!D72&lt;=40,"Intense",Membership_Data!D72&gt;40,"Normal")</f>
        <v>Intense</v>
      </c>
      <c r="F72" t="str" cm="1">
        <f t="array" ref="F72">_xlfn.IFS(Membership_Data!D72&lt;=35,"90 Minutes",Membership_Data!D72&gt;=36,"50 Minutes")</f>
        <v>50 Minutes</v>
      </c>
    </row>
    <row r="73" spans="1:6" x14ac:dyDescent="0.3">
      <c r="A73" t="s">
        <v>486</v>
      </c>
      <c r="B73" s="4" t="s">
        <v>89</v>
      </c>
      <c r="C73" s="2">
        <f t="shared" ca="1" si="2"/>
        <v>45229</v>
      </c>
      <c r="D73" s="4" t="str">
        <f t="shared" ca="1" si="3"/>
        <v>01:21 PM</v>
      </c>
      <c r="E73" s="4" t="str" cm="1">
        <f t="array" ref="E73">_xlfn.IFS(Membership_Data!D73&lt;=40,"Intense",Membership_Data!D73&gt;40,"Normal")</f>
        <v>Normal</v>
      </c>
      <c r="F73" t="str" cm="1">
        <f t="array" ref="F73">_xlfn.IFS(Membership_Data!D73&lt;=35,"90 Minutes",Membership_Data!D73&gt;=36,"50 Minutes")</f>
        <v>50 Minutes</v>
      </c>
    </row>
    <row r="74" spans="1:6" x14ac:dyDescent="0.3">
      <c r="A74" t="s">
        <v>487</v>
      </c>
      <c r="B74" s="4" t="s">
        <v>90</v>
      </c>
      <c r="C74" s="2">
        <f t="shared" ca="1" si="2"/>
        <v>45873</v>
      </c>
      <c r="D74" s="4" t="str">
        <f t="shared" ca="1" si="3"/>
        <v>04:08 PM</v>
      </c>
      <c r="E74" s="4" t="str" cm="1">
        <f t="array" ref="E74">_xlfn.IFS(Membership_Data!D74&lt;=40,"Intense",Membership_Data!D74&gt;40,"Normal")</f>
        <v>Intense</v>
      </c>
      <c r="F74" t="str" cm="1">
        <f t="array" ref="F74">_xlfn.IFS(Membership_Data!D74&lt;=35,"90 Minutes",Membership_Data!D74&gt;=36,"50 Minutes")</f>
        <v>50 Minutes</v>
      </c>
    </row>
    <row r="75" spans="1:6" x14ac:dyDescent="0.3">
      <c r="A75" t="s">
        <v>488</v>
      </c>
      <c r="B75" s="4" t="s">
        <v>91</v>
      </c>
      <c r="C75" s="2">
        <f t="shared" ca="1" si="2"/>
        <v>45692</v>
      </c>
      <c r="D75" s="4" t="str">
        <f t="shared" ca="1" si="3"/>
        <v>07:17 PM</v>
      </c>
      <c r="E75" s="4" t="str" cm="1">
        <f t="array" ref="E75">_xlfn.IFS(Membership_Data!D75&lt;=40,"Intense",Membership_Data!D75&gt;40,"Normal")</f>
        <v>Intense</v>
      </c>
      <c r="F75" t="str" cm="1">
        <f t="array" ref="F75">_xlfn.IFS(Membership_Data!D75&lt;=35,"90 Minutes",Membership_Data!D75&gt;=36,"50 Minutes")</f>
        <v>90 Minutes</v>
      </c>
    </row>
    <row r="76" spans="1:6" x14ac:dyDescent="0.3">
      <c r="A76" t="s">
        <v>489</v>
      </c>
      <c r="B76" s="4" t="s">
        <v>92</v>
      </c>
      <c r="C76" s="2">
        <f t="shared" ca="1" si="2"/>
        <v>45086</v>
      </c>
      <c r="D76" s="4" t="str">
        <f t="shared" ca="1" si="3"/>
        <v>02:36 PM</v>
      </c>
      <c r="E76" s="4" t="str" cm="1">
        <f t="array" ref="E76">_xlfn.IFS(Membership_Data!D76&lt;=40,"Intense",Membership_Data!D76&gt;40,"Normal")</f>
        <v>Intense</v>
      </c>
      <c r="F76" t="str" cm="1">
        <f t="array" ref="F76">_xlfn.IFS(Membership_Data!D76&lt;=35,"90 Minutes",Membership_Data!D76&gt;=36,"50 Minutes")</f>
        <v>90 Minutes</v>
      </c>
    </row>
    <row r="77" spans="1:6" x14ac:dyDescent="0.3">
      <c r="A77" t="s">
        <v>490</v>
      </c>
      <c r="B77" s="4" t="s">
        <v>93</v>
      </c>
      <c r="C77" s="2">
        <f t="shared" ca="1" si="2"/>
        <v>45353</v>
      </c>
      <c r="D77" s="4" t="str">
        <f t="shared" ca="1" si="3"/>
        <v>05:17 PM</v>
      </c>
      <c r="E77" s="4" t="str" cm="1">
        <f t="array" ref="E77">_xlfn.IFS(Membership_Data!D77&lt;=40,"Intense",Membership_Data!D77&gt;40,"Normal")</f>
        <v>Normal</v>
      </c>
      <c r="F77" t="str" cm="1">
        <f t="array" ref="F77">_xlfn.IFS(Membership_Data!D77&lt;=35,"90 Minutes",Membership_Data!D77&gt;=36,"50 Minutes")</f>
        <v>50 Minutes</v>
      </c>
    </row>
    <row r="78" spans="1:6" x14ac:dyDescent="0.3">
      <c r="A78" t="s">
        <v>491</v>
      </c>
      <c r="B78" s="4" t="s">
        <v>94</v>
      </c>
      <c r="C78" s="2">
        <f t="shared" ca="1" si="2"/>
        <v>45392</v>
      </c>
      <c r="D78" s="4" t="str">
        <f t="shared" ca="1" si="3"/>
        <v>11:07 AM</v>
      </c>
      <c r="E78" s="4" t="str" cm="1">
        <f t="array" ref="E78">_xlfn.IFS(Membership_Data!D78&lt;=40,"Intense",Membership_Data!D78&gt;40,"Normal")</f>
        <v>Normal</v>
      </c>
      <c r="F78" t="str" cm="1">
        <f t="array" ref="F78">_xlfn.IFS(Membership_Data!D78&lt;=35,"90 Minutes",Membership_Data!D78&gt;=36,"50 Minutes")</f>
        <v>50 Minutes</v>
      </c>
    </row>
    <row r="79" spans="1:6" x14ac:dyDescent="0.3">
      <c r="A79" t="s">
        <v>492</v>
      </c>
      <c r="B79" s="4" t="s">
        <v>95</v>
      </c>
      <c r="C79" s="2">
        <f t="shared" ca="1" si="2"/>
        <v>45765</v>
      </c>
      <c r="D79" s="4" t="str">
        <f t="shared" ca="1" si="3"/>
        <v>07:57 PM</v>
      </c>
      <c r="E79" s="4" t="str" cm="1">
        <f t="array" ref="E79">_xlfn.IFS(Membership_Data!D79&lt;=40,"Intense",Membership_Data!D79&gt;40,"Normal")</f>
        <v>Intense</v>
      </c>
      <c r="F79" t="str" cm="1">
        <f t="array" ref="F79">_xlfn.IFS(Membership_Data!D79&lt;=35,"90 Minutes",Membership_Data!D79&gt;=36,"50 Minutes")</f>
        <v>90 Minutes</v>
      </c>
    </row>
    <row r="80" spans="1:6" x14ac:dyDescent="0.3">
      <c r="A80" t="s">
        <v>493</v>
      </c>
      <c r="B80" s="4" t="s">
        <v>96</v>
      </c>
      <c r="C80" s="2">
        <f t="shared" ca="1" si="2"/>
        <v>45400</v>
      </c>
      <c r="D80" s="4" t="str">
        <f t="shared" ca="1" si="3"/>
        <v>08:07 PM</v>
      </c>
      <c r="E80" s="4" t="str" cm="1">
        <f t="array" ref="E80">_xlfn.IFS(Membership_Data!D80&lt;=40,"Intense",Membership_Data!D80&gt;40,"Normal")</f>
        <v>Intense</v>
      </c>
      <c r="F80" t="str" cm="1">
        <f t="array" ref="F80">_xlfn.IFS(Membership_Data!D80&lt;=35,"90 Minutes",Membership_Data!D80&gt;=36,"50 Minutes")</f>
        <v>90 Minutes</v>
      </c>
    </row>
    <row r="81" spans="1:6" x14ac:dyDescent="0.3">
      <c r="A81" t="s">
        <v>494</v>
      </c>
      <c r="B81" s="4" t="s">
        <v>97</v>
      </c>
      <c r="C81" s="2">
        <f t="shared" ca="1" si="2"/>
        <v>45377</v>
      </c>
      <c r="D81" s="4" t="str">
        <f t="shared" ca="1" si="3"/>
        <v>07:35 PM</v>
      </c>
      <c r="E81" s="4" t="str" cm="1">
        <f t="array" ref="E81">_xlfn.IFS(Membership_Data!D81&lt;=40,"Intense",Membership_Data!D81&gt;40,"Normal")</f>
        <v>Intense</v>
      </c>
      <c r="F81" t="str" cm="1">
        <f t="array" ref="F81">_xlfn.IFS(Membership_Data!D81&lt;=35,"90 Minutes",Membership_Data!D81&gt;=36,"50 Minutes")</f>
        <v>50 Minutes</v>
      </c>
    </row>
    <row r="82" spans="1:6" x14ac:dyDescent="0.3">
      <c r="A82" t="s">
        <v>495</v>
      </c>
      <c r="B82" s="4" t="s">
        <v>98</v>
      </c>
      <c r="C82" s="2">
        <f t="shared" ca="1" si="2"/>
        <v>45153</v>
      </c>
      <c r="D82" s="4" t="str">
        <f t="shared" ca="1" si="3"/>
        <v>06:45 PM</v>
      </c>
      <c r="E82" s="4" t="str" cm="1">
        <f t="array" ref="E82">_xlfn.IFS(Membership_Data!D82&lt;=40,"Intense",Membership_Data!D82&gt;40,"Normal")</f>
        <v>Intense</v>
      </c>
      <c r="F82" t="str" cm="1">
        <f t="array" ref="F82">_xlfn.IFS(Membership_Data!D82&lt;=35,"90 Minutes",Membership_Data!D82&gt;=36,"50 Minutes")</f>
        <v>90 Minutes</v>
      </c>
    </row>
    <row r="83" spans="1:6" x14ac:dyDescent="0.3">
      <c r="A83" t="s">
        <v>496</v>
      </c>
      <c r="B83" s="4" t="s">
        <v>99</v>
      </c>
      <c r="C83" s="2">
        <f t="shared" ca="1" si="2"/>
        <v>45417</v>
      </c>
      <c r="D83" s="4" t="str">
        <f t="shared" ca="1" si="3"/>
        <v>07:43 AM</v>
      </c>
      <c r="E83" s="4" t="str" cm="1">
        <f t="array" ref="E83">_xlfn.IFS(Membership_Data!D83&lt;=40,"Intense",Membership_Data!D83&gt;40,"Normal")</f>
        <v>Normal</v>
      </c>
      <c r="F83" t="str" cm="1">
        <f t="array" ref="F83">_xlfn.IFS(Membership_Data!D83&lt;=35,"90 Minutes",Membership_Data!D83&gt;=36,"50 Minutes")</f>
        <v>50 Minutes</v>
      </c>
    </row>
    <row r="84" spans="1:6" x14ac:dyDescent="0.3">
      <c r="A84" t="s">
        <v>497</v>
      </c>
      <c r="B84" s="4" t="s">
        <v>100</v>
      </c>
      <c r="C84" s="2">
        <f t="shared" ca="1" si="2"/>
        <v>45425</v>
      </c>
      <c r="D84" s="4" t="str">
        <f t="shared" ca="1" si="3"/>
        <v>06:43 PM</v>
      </c>
      <c r="E84" s="4" t="str" cm="1">
        <f t="array" ref="E84">_xlfn.IFS(Membership_Data!D84&lt;=40,"Intense",Membership_Data!D84&gt;40,"Normal")</f>
        <v>Normal</v>
      </c>
      <c r="F84" t="str" cm="1">
        <f t="array" ref="F84">_xlfn.IFS(Membership_Data!D84&lt;=35,"90 Minutes",Membership_Data!D84&gt;=36,"50 Minutes")</f>
        <v>50 Minutes</v>
      </c>
    </row>
    <row r="85" spans="1:6" x14ac:dyDescent="0.3">
      <c r="A85" t="s">
        <v>498</v>
      </c>
      <c r="B85" s="4" t="s">
        <v>101</v>
      </c>
      <c r="C85" s="2">
        <f t="shared" ca="1" si="2"/>
        <v>45215</v>
      </c>
      <c r="D85" s="4" t="str">
        <f t="shared" ca="1" si="3"/>
        <v>07:10 AM</v>
      </c>
      <c r="E85" s="4" t="str" cm="1">
        <f t="array" ref="E85">_xlfn.IFS(Membership_Data!D85&lt;=40,"Intense",Membership_Data!D85&gt;40,"Normal")</f>
        <v>Intense</v>
      </c>
      <c r="F85" t="str" cm="1">
        <f t="array" ref="F85">_xlfn.IFS(Membership_Data!D85&lt;=35,"90 Minutes",Membership_Data!D85&gt;=36,"50 Minutes")</f>
        <v>90 Minutes</v>
      </c>
    </row>
    <row r="86" spans="1:6" x14ac:dyDescent="0.3">
      <c r="A86" t="s">
        <v>499</v>
      </c>
      <c r="B86" s="4" t="s">
        <v>102</v>
      </c>
      <c r="C86" s="2">
        <f t="shared" ca="1" si="2"/>
        <v>45209</v>
      </c>
      <c r="D86" s="4" t="str">
        <f t="shared" ca="1" si="3"/>
        <v>07:51 PM</v>
      </c>
      <c r="E86" s="4" t="str" cm="1">
        <f t="array" ref="E86">_xlfn.IFS(Membership_Data!D86&lt;=40,"Intense",Membership_Data!D86&gt;40,"Normal")</f>
        <v>Normal</v>
      </c>
      <c r="F86" t="str" cm="1">
        <f t="array" ref="F86">_xlfn.IFS(Membership_Data!D86&lt;=35,"90 Minutes",Membership_Data!D86&gt;=36,"50 Minutes")</f>
        <v>50 Minutes</v>
      </c>
    </row>
    <row r="87" spans="1:6" x14ac:dyDescent="0.3">
      <c r="A87" t="s">
        <v>500</v>
      </c>
      <c r="B87" s="4" t="s">
        <v>103</v>
      </c>
      <c r="C87" s="2">
        <f t="shared" ca="1" si="2"/>
        <v>45362</v>
      </c>
      <c r="D87" s="4" t="str">
        <f t="shared" ca="1" si="3"/>
        <v>02:15 PM</v>
      </c>
      <c r="E87" s="4" t="str" cm="1">
        <f t="array" ref="E87">_xlfn.IFS(Membership_Data!D87&lt;=40,"Intense",Membership_Data!D87&gt;40,"Normal")</f>
        <v>Normal</v>
      </c>
      <c r="F87" t="str" cm="1">
        <f t="array" ref="F87">_xlfn.IFS(Membership_Data!D87&lt;=35,"90 Minutes",Membership_Data!D87&gt;=36,"50 Minutes")</f>
        <v>50 Minutes</v>
      </c>
    </row>
    <row r="88" spans="1:6" x14ac:dyDescent="0.3">
      <c r="A88" t="s">
        <v>501</v>
      </c>
      <c r="B88" s="4" t="s">
        <v>104</v>
      </c>
      <c r="C88" s="2">
        <f t="shared" ca="1" si="2"/>
        <v>45071</v>
      </c>
      <c r="D88" s="4" t="str">
        <f t="shared" ca="1" si="3"/>
        <v>09:56 AM</v>
      </c>
      <c r="E88" s="4" t="str" cm="1">
        <f t="array" ref="E88">_xlfn.IFS(Membership_Data!D88&lt;=40,"Intense",Membership_Data!D88&gt;40,"Normal")</f>
        <v>Normal</v>
      </c>
      <c r="F88" t="str" cm="1">
        <f t="array" ref="F88">_xlfn.IFS(Membership_Data!D88&lt;=35,"90 Minutes",Membership_Data!D88&gt;=36,"50 Minutes")</f>
        <v>50 Minutes</v>
      </c>
    </row>
    <row r="89" spans="1:6" x14ac:dyDescent="0.3">
      <c r="A89" t="s">
        <v>502</v>
      </c>
      <c r="B89" s="4" t="s">
        <v>105</v>
      </c>
      <c r="C89" s="2">
        <f t="shared" ca="1" si="2"/>
        <v>45577</v>
      </c>
      <c r="D89" s="4" t="str">
        <f t="shared" ca="1" si="3"/>
        <v>07:52 AM</v>
      </c>
      <c r="E89" s="4" t="str" cm="1">
        <f t="array" ref="E89">_xlfn.IFS(Membership_Data!D89&lt;=40,"Intense",Membership_Data!D89&gt;40,"Normal")</f>
        <v>Intense</v>
      </c>
      <c r="F89" t="str" cm="1">
        <f t="array" ref="F89">_xlfn.IFS(Membership_Data!D89&lt;=35,"90 Minutes",Membership_Data!D89&gt;=36,"50 Minutes")</f>
        <v>90 Minutes</v>
      </c>
    </row>
    <row r="90" spans="1:6" x14ac:dyDescent="0.3">
      <c r="A90" t="s">
        <v>503</v>
      </c>
      <c r="B90" s="4" t="s">
        <v>106</v>
      </c>
      <c r="C90" s="2">
        <f t="shared" ca="1" si="2"/>
        <v>45394</v>
      </c>
      <c r="D90" s="4" t="str">
        <f t="shared" ca="1" si="3"/>
        <v>07:30 AM</v>
      </c>
      <c r="E90" s="4" t="str" cm="1">
        <f t="array" ref="E90">_xlfn.IFS(Membership_Data!D90&lt;=40,"Intense",Membership_Data!D90&gt;40,"Normal")</f>
        <v>Intense</v>
      </c>
      <c r="F90" t="str" cm="1">
        <f t="array" ref="F90">_xlfn.IFS(Membership_Data!D90&lt;=35,"90 Minutes",Membership_Data!D90&gt;=36,"50 Minutes")</f>
        <v>90 Minutes</v>
      </c>
    </row>
    <row r="91" spans="1:6" x14ac:dyDescent="0.3">
      <c r="A91" t="s">
        <v>504</v>
      </c>
      <c r="B91" s="4" t="s">
        <v>107</v>
      </c>
      <c r="C91" s="2">
        <f t="shared" ca="1" si="2"/>
        <v>45161</v>
      </c>
      <c r="D91" s="4" t="str">
        <f t="shared" ca="1" si="3"/>
        <v>12:49 PM</v>
      </c>
      <c r="E91" s="4" t="str" cm="1">
        <f t="array" ref="E91">_xlfn.IFS(Membership_Data!D91&lt;=40,"Intense",Membership_Data!D91&gt;40,"Normal")</f>
        <v>Normal</v>
      </c>
      <c r="F91" t="str" cm="1">
        <f t="array" ref="F91">_xlfn.IFS(Membership_Data!D91&lt;=35,"90 Minutes",Membership_Data!D91&gt;=36,"50 Minutes")</f>
        <v>50 Minutes</v>
      </c>
    </row>
    <row r="92" spans="1:6" x14ac:dyDescent="0.3">
      <c r="A92" t="s">
        <v>505</v>
      </c>
      <c r="B92" s="4" t="s">
        <v>108</v>
      </c>
      <c r="C92" s="2">
        <f t="shared" ca="1" si="2"/>
        <v>45654</v>
      </c>
      <c r="D92" s="4" t="str">
        <f t="shared" ca="1" si="3"/>
        <v>05:20 PM</v>
      </c>
      <c r="E92" s="4" t="str" cm="1">
        <f t="array" ref="E92">_xlfn.IFS(Membership_Data!D92&lt;=40,"Intense",Membership_Data!D92&gt;40,"Normal")</f>
        <v>Normal</v>
      </c>
      <c r="F92" t="str" cm="1">
        <f t="array" ref="F92">_xlfn.IFS(Membership_Data!D92&lt;=35,"90 Minutes",Membership_Data!D92&gt;=36,"50 Minutes")</f>
        <v>50 Minutes</v>
      </c>
    </row>
    <row r="93" spans="1:6" x14ac:dyDescent="0.3">
      <c r="A93" t="s">
        <v>506</v>
      </c>
      <c r="B93" s="4" t="s">
        <v>109</v>
      </c>
      <c r="C93" s="2">
        <f t="shared" ca="1" si="2"/>
        <v>44931</v>
      </c>
      <c r="D93" s="4" t="str">
        <f t="shared" ca="1" si="3"/>
        <v>08:51 AM</v>
      </c>
      <c r="E93" s="4" t="str" cm="1">
        <f t="array" ref="E93">_xlfn.IFS(Membership_Data!D93&lt;=40,"Intense",Membership_Data!D93&gt;40,"Normal")</f>
        <v>Intense</v>
      </c>
      <c r="F93" t="str" cm="1">
        <f t="array" ref="F93">_xlfn.IFS(Membership_Data!D93&lt;=35,"90 Minutes",Membership_Data!D93&gt;=36,"50 Minutes")</f>
        <v>50 Minutes</v>
      </c>
    </row>
    <row r="94" spans="1:6" x14ac:dyDescent="0.3">
      <c r="A94" t="s">
        <v>507</v>
      </c>
      <c r="B94" s="4" t="s">
        <v>110</v>
      </c>
      <c r="C94" s="2">
        <f t="shared" ca="1" si="2"/>
        <v>45408</v>
      </c>
      <c r="D94" s="4" t="str">
        <f t="shared" ca="1" si="3"/>
        <v>09:40 AM</v>
      </c>
      <c r="E94" s="4" t="str" cm="1">
        <f t="array" ref="E94">_xlfn.IFS(Membership_Data!D94&lt;=40,"Intense",Membership_Data!D94&gt;40,"Normal")</f>
        <v>Normal</v>
      </c>
      <c r="F94" t="str" cm="1">
        <f t="array" ref="F94">_xlfn.IFS(Membership_Data!D94&lt;=35,"90 Minutes",Membership_Data!D94&gt;=36,"50 Minutes")</f>
        <v>50 Minutes</v>
      </c>
    </row>
    <row r="95" spans="1:6" x14ac:dyDescent="0.3">
      <c r="A95" t="s">
        <v>508</v>
      </c>
      <c r="B95" s="4" t="s">
        <v>111</v>
      </c>
      <c r="C95" s="2">
        <f t="shared" ca="1" si="2"/>
        <v>45404</v>
      </c>
      <c r="D95" s="4" t="str">
        <f t="shared" ca="1" si="3"/>
        <v>06:27 AM</v>
      </c>
      <c r="E95" s="4" t="str" cm="1">
        <f t="array" ref="E95">_xlfn.IFS(Membership_Data!D95&lt;=40,"Intense",Membership_Data!D95&gt;40,"Normal")</f>
        <v>Normal</v>
      </c>
      <c r="F95" t="str" cm="1">
        <f t="array" ref="F95">_xlfn.IFS(Membership_Data!D95&lt;=35,"90 Minutes",Membership_Data!D95&gt;=36,"50 Minutes")</f>
        <v>50 Minutes</v>
      </c>
    </row>
    <row r="96" spans="1:6" x14ac:dyDescent="0.3">
      <c r="A96" t="s">
        <v>509</v>
      </c>
      <c r="B96" s="4" t="s">
        <v>112</v>
      </c>
      <c r="C96" s="2">
        <f t="shared" ca="1" si="2"/>
        <v>45565</v>
      </c>
      <c r="D96" s="4" t="str">
        <f t="shared" ca="1" si="3"/>
        <v>10:25 AM</v>
      </c>
      <c r="E96" s="4" t="str" cm="1">
        <f t="array" ref="E96">_xlfn.IFS(Membership_Data!D96&lt;=40,"Intense",Membership_Data!D96&gt;40,"Normal")</f>
        <v>Normal</v>
      </c>
      <c r="F96" t="str" cm="1">
        <f t="array" ref="F96">_xlfn.IFS(Membership_Data!D96&lt;=35,"90 Minutes",Membership_Data!D96&gt;=36,"50 Minutes")</f>
        <v>50 Minutes</v>
      </c>
    </row>
    <row r="97" spans="1:6" x14ac:dyDescent="0.3">
      <c r="A97" t="s">
        <v>510</v>
      </c>
      <c r="B97" s="4" t="s">
        <v>113</v>
      </c>
      <c r="C97" s="2">
        <f t="shared" ca="1" si="2"/>
        <v>45176</v>
      </c>
      <c r="D97" s="4" t="str">
        <f t="shared" ca="1" si="3"/>
        <v>06:06 AM</v>
      </c>
      <c r="E97" s="4" t="str" cm="1">
        <f t="array" ref="E97">_xlfn.IFS(Membership_Data!D97&lt;=40,"Intense",Membership_Data!D97&gt;40,"Normal")</f>
        <v>Intense</v>
      </c>
      <c r="F97" t="str" cm="1">
        <f t="array" ref="F97">_xlfn.IFS(Membership_Data!D97&lt;=35,"90 Minutes",Membership_Data!D97&gt;=36,"50 Minutes")</f>
        <v>90 Minutes</v>
      </c>
    </row>
    <row r="98" spans="1:6" x14ac:dyDescent="0.3">
      <c r="A98" t="s">
        <v>511</v>
      </c>
      <c r="B98" s="4" t="s">
        <v>114</v>
      </c>
      <c r="C98" s="2">
        <f t="shared" ca="1" si="2"/>
        <v>45501</v>
      </c>
      <c r="D98" s="4" t="str">
        <f t="shared" ca="1" si="3"/>
        <v>05:56 PM</v>
      </c>
      <c r="E98" s="4" t="str" cm="1">
        <f t="array" ref="E98">_xlfn.IFS(Membership_Data!D98&lt;=40,"Intense",Membership_Data!D98&gt;40,"Normal")</f>
        <v>Intense</v>
      </c>
      <c r="F98" t="str" cm="1">
        <f t="array" ref="F98">_xlfn.IFS(Membership_Data!D98&lt;=35,"90 Minutes",Membership_Data!D98&gt;=36,"50 Minutes")</f>
        <v>50 Minutes</v>
      </c>
    </row>
    <row r="99" spans="1:6" x14ac:dyDescent="0.3">
      <c r="A99" t="s">
        <v>512</v>
      </c>
      <c r="B99" s="4" t="s">
        <v>115</v>
      </c>
      <c r="C99" s="2">
        <f t="shared" ca="1" si="2"/>
        <v>44927</v>
      </c>
      <c r="D99" s="4" t="str">
        <f t="shared" ca="1" si="3"/>
        <v>03:41 PM</v>
      </c>
      <c r="E99" s="4" t="str" cm="1">
        <f t="array" ref="E99">_xlfn.IFS(Membership_Data!D99&lt;=40,"Intense",Membership_Data!D99&gt;40,"Normal")</f>
        <v>Intense</v>
      </c>
      <c r="F99" t="str" cm="1">
        <f t="array" ref="F99">_xlfn.IFS(Membership_Data!D99&lt;=35,"90 Minutes",Membership_Data!D99&gt;=36,"50 Minutes")</f>
        <v>90 Minutes</v>
      </c>
    </row>
    <row r="100" spans="1:6" x14ac:dyDescent="0.3">
      <c r="A100" t="s">
        <v>513</v>
      </c>
      <c r="B100" s="4" t="s">
        <v>116</v>
      </c>
      <c r="C100" s="2">
        <f t="shared" ca="1" si="2"/>
        <v>45867</v>
      </c>
      <c r="D100" s="4" t="str">
        <f t="shared" ca="1" si="3"/>
        <v>07:57 PM</v>
      </c>
      <c r="E100" s="4" t="str" cm="1">
        <f t="array" ref="E100">_xlfn.IFS(Membership_Data!D100&lt;=40,"Intense",Membership_Data!D100&gt;40,"Normal")</f>
        <v>Normal</v>
      </c>
      <c r="F100" t="str" cm="1">
        <f t="array" ref="F100">_xlfn.IFS(Membership_Data!D100&lt;=35,"90 Minutes",Membership_Data!D100&gt;=36,"50 Minutes")</f>
        <v>50 Minutes</v>
      </c>
    </row>
    <row r="101" spans="1:6" x14ac:dyDescent="0.3">
      <c r="A101" t="s">
        <v>514</v>
      </c>
      <c r="B101" s="4" t="s">
        <v>117</v>
      </c>
      <c r="C101" s="2">
        <f t="shared" ca="1" si="2"/>
        <v>45065</v>
      </c>
      <c r="D101" s="4" t="str">
        <f t="shared" ca="1" si="3"/>
        <v>07:45 AM</v>
      </c>
      <c r="E101" s="4" t="str" cm="1">
        <f t="array" ref="E101">_xlfn.IFS(Membership_Data!D101&lt;=40,"Intense",Membership_Data!D101&gt;40,"Normal")</f>
        <v>Normal</v>
      </c>
      <c r="F101" t="str" cm="1">
        <f t="array" ref="F101">_xlfn.IFS(Membership_Data!D101&lt;=35,"90 Minutes",Membership_Data!D101&gt;=36,"50 Minutes")</f>
        <v>50 Minutes</v>
      </c>
    </row>
    <row r="102" spans="1:6" x14ac:dyDescent="0.3">
      <c r="A102" t="s">
        <v>515</v>
      </c>
      <c r="B102" s="4" t="s">
        <v>118</v>
      </c>
      <c r="C102" s="2">
        <f t="shared" ca="1" si="2"/>
        <v>45276</v>
      </c>
      <c r="D102" s="4" t="str">
        <f t="shared" ca="1" si="3"/>
        <v>09:38 PM</v>
      </c>
      <c r="E102" s="4" t="str" cm="1">
        <f t="array" ref="E102">_xlfn.IFS(Membership_Data!D102&lt;=40,"Intense",Membership_Data!D102&gt;40,"Normal")</f>
        <v>Normal</v>
      </c>
      <c r="F102" t="str" cm="1">
        <f t="array" ref="F102">_xlfn.IFS(Membership_Data!D102&lt;=35,"90 Minutes",Membership_Data!D102&gt;=36,"50 Minutes")</f>
        <v>50 Minutes</v>
      </c>
    </row>
    <row r="103" spans="1:6" x14ac:dyDescent="0.3">
      <c r="A103" t="s">
        <v>516</v>
      </c>
      <c r="B103" s="4" t="s">
        <v>119</v>
      </c>
      <c r="C103" s="2">
        <f t="shared" ca="1" si="2"/>
        <v>46004</v>
      </c>
      <c r="D103" s="4" t="str">
        <f t="shared" ca="1" si="3"/>
        <v>09:25 PM</v>
      </c>
      <c r="E103" s="4" t="str" cm="1">
        <f t="array" ref="E103">_xlfn.IFS(Membership_Data!D103&lt;=40,"Intense",Membership_Data!D103&gt;40,"Normal")</f>
        <v>Intense</v>
      </c>
      <c r="F103" t="str" cm="1">
        <f t="array" ref="F103">_xlfn.IFS(Membership_Data!D103&lt;=35,"90 Minutes",Membership_Data!D103&gt;=36,"50 Minutes")</f>
        <v>90 Minutes</v>
      </c>
    </row>
    <row r="104" spans="1:6" x14ac:dyDescent="0.3">
      <c r="A104" t="s">
        <v>517</v>
      </c>
      <c r="B104" s="4" t="s">
        <v>120</v>
      </c>
      <c r="C104" s="2">
        <f t="shared" ca="1" si="2"/>
        <v>45687</v>
      </c>
      <c r="D104" s="4" t="str">
        <f t="shared" ca="1" si="3"/>
        <v>07:48 PM</v>
      </c>
      <c r="E104" s="4" t="str" cm="1">
        <f t="array" ref="E104">_xlfn.IFS(Membership_Data!D104&lt;=40,"Intense",Membership_Data!D104&gt;40,"Normal")</f>
        <v>Normal</v>
      </c>
      <c r="F104" t="str" cm="1">
        <f t="array" ref="F104">_xlfn.IFS(Membership_Data!D104&lt;=35,"90 Minutes",Membership_Data!D104&gt;=36,"50 Minutes")</f>
        <v>50 Minutes</v>
      </c>
    </row>
    <row r="105" spans="1:6" x14ac:dyDescent="0.3">
      <c r="A105" t="s">
        <v>518</v>
      </c>
      <c r="B105" s="4" t="s">
        <v>121</v>
      </c>
      <c r="C105" s="2">
        <f t="shared" ca="1" si="2"/>
        <v>45517</v>
      </c>
      <c r="D105" s="4" t="str">
        <f t="shared" ca="1" si="3"/>
        <v>01:56 PM</v>
      </c>
      <c r="E105" s="4" t="str" cm="1">
        <f t="array" ref="E105">_xlfn.IFS(Membership_Data!D105&lt;=40,"Intense",Membership_Data!D105&gt;40,"Normal")</f>
        <v>Intense</v>
      </c>
      <c r="F105" t="str" cm="1">
        <f t="array" ref="F105">_xlfn.IFS(Membership_Data!D105&lt;=35,"90 Minutes",Membership_Data!D105&gt;=36,"50 Minutes")</f>
        <v>90 Minutes</v>
      </c>
    </row>
    <row r="106" spans="1:6" x14ac:dyDescent="0.3">
      <c r="A106" t="s">
        <v>519</v>
      </c>
      <c r="B106" s="4" t="s">
        <v>122</v>
      </c>
      <c r="C106" s="2">
        <f t="shared" ca="1" si="2"/>
        <v>45936</v>
      </c>
      <c r="D106" s="4" t="str">
        <f t="shared" ca="1" si="3"/>
        <v>04:57 PM</v>
      </c>
      <c r="E106" s="4" t="str" cm="1">
        <f t="array" ref="E106">_xlfn.IFS(Membership_Data!D106&lt;=40,"Intense",Membership_Data!D106&gt;40,"Normal")</f>
        <v>Intense</v>
      </c>
      <c r="F106" t="str" cm="1">
        <f t="array" ref="F106">_xlfn.IFS(Membership_Data!D106&lt;=35,"90 Minutes",Membership_Data!D106&gt;=36,"50 Minutes")</f>
        <v>50 Minutes</v>
      </c>
    </row>
    <row r="107" spans="1:6" x14ac:dyDescent="0.3">
      <c r="A107" t="s">
        <v>520</v>
      </c>
      <c r="B107" s="4" t="s">
        <v>123</v>
      </c>
      <c r="C107" s="2">
        <f t="shared" ca="1" si="2"/>
        <v>45338</v>
      </c>
      <c r="D107" s="4" t="str">
        <f t="shared" ca="1" si="3"/>
        <v>06:30 PM</v>
      </c>
      <c r="E107" s="4" t="str" cm="1">
        <f t="array" ref="E107">_xlfn.IFS(Membership_Data!D107&lt;=40,"Intense",Membership_Data!D107&gt;40,"Normal")</f>
        <v>Intense</v>
      </c>
      <c r="F107" t="str" cm="1">
        <f t="array" ref="F107">_xlfn.IFS(Membership_Data!D107&lt;=35,"90 Minutes",Membership_Data!D107&gt;=36,"50 Minutes")</f>
        <v>90 Minutes</v>
      </c>
    </row>
    <row r="108" spans="1:6" x14ac:dyDescent="0.3">
      <c r="A108" t="s">
        <v>521</v>
      </c>
      <c r="B108" s="4" t="s">
        <v>124</v>
      </c>
      <c r="C108" s="2">
        <f t="shared" ca="1" si="2"/>
        <v>45459</v>
      </c>
      <c r="D108" s="4" t="str">
        <f t="shared" ca="1" si="3"/>
        <v>06:55 PM</v>
      </c>
      <c r="E108" s="4" t="str" cm="1">
        <f t="array" ref="E108">_xlfn.IFS(Membership_Data!D108&lt;=40,"Intense",Membership_Data!D108&gt;40,"Normal")</f>
        <v>Normal</v>
      </c>
      <c r="F108" t="str" cm="1">
        <f t="array" ref="F108">_xlfn.IFS(Membership_Data!D108&lt;=35,"90 Minutes",Membership_Data!D108&gt;=36,"50 Minutes")</f>
        <v>50 Minutes</v>
      </c>
    </row>
    <row r="109" spans="1:6" x14ac:dyDescent="0.3">
      <c r="A109" t="s">
        <v>522</v>
      </c>
      <c r="B109" s="4" t="s">
        <v>125</v>
      </c>
      <c r="C109" s="2">
        <f t="shared" ca="1" si="2"/>
        <v>45936</v>
      </c>
      <c r="D109" s="4" t="str">
        <f t="shared" ca="1" si="3"/>
        <v>04:39 PM</v>
      </c>
      <c r="E109" s="4" t="str" cm="1">
        <f t="array" ref="E109">_xlfn.IFS(Membership_Data!D109&lt;=40,"Intense",Membership_Data!D109&gt;40,"Normal")</f>
        <v>Normal</v>
      </c>
      <c r="F109" t="str" cm="1">
        <f t="array" ref="F109">_xlfn.IFS(Membership_Data!D109&lt;=35,"90 Minutes",Membership_Data!D109&gt;=36,"50 Minutes")</f>
        <v>50 Minutes</v>
      </c>
    </row>
    <row r="110" spans="1:6" x14ac:dyDescent="0.3">
      <c r="A110" t="s">
        <v>523</v>
      </c>
      <c r="B110" s="4" t="s">
        <v>126</v>
      </c>
      <c r="C110" s="2">
        <f t="shared" ca="1" si="2"/>
        <v>45202</v>
      </c>
      <c r="D110" s="4" t="str">
        <f t="shared" ca="1" si="3"/>
        <v>12:32 PM</v>
      </c>
      <c r="E110" s="4" t="str" cm="1">
        <f t="array" ref="E110">_xlfn.IFS(Membership_Data!D110&lt;=40,"Intense",Membership_Data!D110&gt;40,"Normal")</f>
        <v>Intense</v>
      </c>
      <c r="F110" t="str" cm="1">
        <f t="array" ref="F110">_xlfn.IFS(Membership_Data!D110&lt;=35,"90 Minutes",Membership_Data!D110&gt;=36,"50 Minutes")</f>
        <v>90 Minutes</v>
      </c>
    </row>
    <row r="111" spans="1:6" x14ac:dyDescent="0.3">
      <c r="A111" t="s">
        <v>524</v>
      </c>
      <c r="B111" s="4" t="s">
        <v>127</v>
      </c>
      <c r="C111" s="2">
        <f t="shared" ca="1" si="2"/>
        <v>46003</v>
      </c>
      <c r="D111" s="4" t="str">
        <f t="shared" ca="1" si="3"/>
        <v>08:40 PM</v>
      </c>
      <c r="E111" s="4" t="str" cm="1">
        <f t="array" ref="E111">_xlfn.IFS(Membership_Data!D111&lt;=40,"Intense",Membership_Data!D111&gt;40,"Normal")</f>
        <v>Normal</v>
      </c>
      <c r="F111" t="str" cm="1">
        <f t="array" ref="F111">_xlfn.IFS(Membership_Data!D111&lt;=35,"90 Minutes",Membership_Data!D111&gt;=36,"50 Minutes")</f>
        <v>50 Minutes</v>
      </c>
    </row>
    <row r="112" spans="1:6" x14ac:dyDescent="0.3">
      <c r="A112" t="s">
        <v>525</v>
      </c>
      <c r="B112" s="4" t="s">
        <v>128</v>
      </c>
      <c r="C112" s="2">
        <f t="shared" ca="1" si="2"/>
        <v>45443</v>
      </c>
      <c r="D112" s="4" t="str">
        <f t="shared" ca="1" si="3"/>
        <v>03:16 PM</v>
      </c>
      <c r="E112" s="4" t="str" cm="1">
        <f t="array" ref="E112">_xlfn.IFS(Membership_Data!D112&lt;=40,"Intense",Membership_Data!D112&gt;40,"Normal")</f>
        <v>Intense</v>
      </c>
      <c r="F112" t="str" cm="1">
        <f t="array" ref="F112">_xlfn.IFS(Membership_Data!D112&lt;=35,"90 Minutes",Membership_Data!D112&gt;=36,"50 Minutes")</f>
        <v>90 Minutes</v>
      </c>
    </row>
    <row r="113" spans="1:6" x14ac:dyDescent="0.3">
      <c r="A113" t="s">
        <v>526</v>
      </c>
      <c r="B113" s="4" t="s">
        <v>129</v>
      </c>
      <c r="C113" s="2">
        <f t="shared" ca="1" si="2"/>
        <v>45050</v>
      </c>
      <c r="D113" s="4" t="str">
        <f t="shared" ca="1" si="3"/>
        <v>03:03 PM</v>
      </c>
      <c r="E113" s="4" t="str" cm="1">
        <f t="array" ref="E113">_xlfn.IFS(Membership_Data!D113&lt;=40,"Intense",Membership_Data!D113&gt;40,"Normal")</f>
        <v>Intense</v>
      </c>
      <c r="F113" t="str" cm="1">
        <f t="array" ref="F113">_xlfn.IFS(Membership_Data!D113&lt;=35,"90 Minutes",Membership_Data!D113&gt;=36,"50 Minutes")</f>
        <v>90 Minutes</v>
      </c>
    </row>
    <row r="114" spans="1:6" x14ac:dyDescent="0.3">
      <c r="A114" t="s">
        <v>527</v>
      </c>
      <c r="B114" s="4" t="s">
        <v>130</v>
      </c>
      <c r="C114" s="2">
        <f t="shared" ca="1" si="2"/>
        <v>45724</v>
      </c>
      <c r="D114" s="4" t="str">
        <f t="shared" ca="1" si="3"/>
        <v>09:50 AM</v>
      </c>
      <c r="E114" s="4" t="str" cm="1">
        <f t="array" ref="E114">_xlfn.IFS(Membership_Data!D114&lt;=40,"Intense",Membership_Data!D114&gt;40,"Normal")</f>
        <v>Intense</v>
      </c>
      <c r="F114" t="str" cm="1">
        <f t="array" ref="F114">_xlfn.IFS(Membership_Data!D114&lt;=35,"90 Minutes",Membership_Data!D114&gt;=36,"50 Minutes")</f>
        <v>50 Minutes</v>
      </c>
    </row>
    <row r="115" spans="1:6" x14ac:dyDescent="0.3">
      <c r="A115" t="s">
        <v>528</v>
      </c>
      <c r="B115" s="4" t="s">
        <v>131</v>
      </c>
      <c r="C115" s="2">
        <f t="shared" ca="1" si="2"/>
        <v>45607</v>
      </c>
      <c r="D115" s="4" t="str">
        <f t="shared" ca="1" si="3"/>
        <v>07:42 AM</v>
      </c>
      <c r="E115" s="4" t="str" cm="1">
        <f t="array" ref="E115">_xlfn.IFS(Membership_Data!D115&lt;=40,"Intense",Membership_Data!D115&gt;40,"Normal")</f>
        <v>Normal</v>
      </c>
      <c r="F115" t="str" cm="1">
        <f t="array" ref="F115">_xlfn.IFS(Membership_Data!D115&lt;=35,"90 Minutes",Membership_Data!D115&gt;=36,"50 Minutes")</f>
        <v>50 Minutes</v>
      </c>
    </row>
    <row r="116" spans="1:6" x14ac:dyDescent="0.3">
      <c r="A116" t="s">
        <v>529</v>
      </c>
      <c r="B116" s="4" t="s">
        <v>132</v>
      </c>
      <c r="C116" s="2">
        <f t="shared" ca="1" si="2"/>
        <v>45238</v>
      </c>
      <c r="D116" s="4" t="str">
        <f t="shared" ca="1" si="3"/>
        <v>03:56 PM</v>
      </c>
      <c r="E116" s="4" t="str" cm="1">
        <f t="array" ref="E116">_xlfn.IFS(Membership_Data!D116&lt;=40,"Intense",Membership_Data!D116&gt;40,"Normal")</f>
        <v>Intense</v>
      </c>
      <c r="F116" t="str" cm="1">
        <f t="array" ref="F116">_xlfn.IFS(Membership_Data!D116&lt;=35,"90 Minutes",Membership_Data!D116&gt;=36,"50 Minutes")</f>
        <v>90 Minutes</v>
      </c>
    </row>
    <row r="117" spans="1:6" x14ac:dyDescent="0.3">
      <c r="A117" t="s">
        <v>530</v>
      </c>
      <c r="B117" s="4" t="s">
        <v>133</v>
      </c>
      <c r="C117" s="2">
        <f t="shared" ca="1" si="2"/>
        <v>45016</v>
      </c>
      <c r="D117" s="4" t="str">
        <f t="shared" ca="1" si="3"/>
        <v>01:55 PM</v>
      </c>
      <c r="E117" s="4" t="str" cm="1">
        <f t="array" ref="E117">_xlfn.IFS(Membership_Data!D117&lt;=40,"Intense",Membership_Data!D117&gt;40,"Normal")</f>
        <v>Normal</v>
      </c>
      <c r="F117" t="str" cm="1">
        <f t="array" ref="F117">_xlfn.IFS(Membership_Data!D117&lt;=35,"90 Minutes",Membership_Data!D117&gt;=36,"50 Minutes")</f>
        <v>50 Minutes</v>
      </c>
    </row>
    <row r="118" spans="1:6" x14ac:dyDescent="0.3">
      <c r="A118" t="s">
        <v>531</v>
      </c>
      <c r="B118" s="4" t="s">
        <v>134</v>
      </c>
      <c r="C118" s="2">
        <f t="shared" ca="1" si="2"/>
        <v>46009</v>
      </c>
      <c r="D118" s="4" t="str">
        <f t="shared" ca="1" si="3"/>
        <v>12:12 PM</v>
      </c>
      <c r="E118" s="4" t="str" cm="1">
        <f t="array" ref="E118">_xlfn.IFS(Membership_Data!D118&lt;=40,"Intense",Membership_Data!D118&gt;40,"Normal")</f>
        <v>Intense</v>
      </c>
      <c r="F118" t="str" cm="1">
        <f t="array" ref="F118">_xlfn.IFS(Membership_Data!D118&lt;=35,"90 Minutes",Membership_Data!D118&gt;=36,"50 Minutes")</f>
        <v>90 Minutes</v>
      </c>
    </row>
    <row r="119" spans="1:6" x14ac:dyDescent="0.3">
      <c r="A119" t="s">
        <v>532</v>
      </c>
      <c r="B119" s="4" t="s">
        <v>135</v>
      </c>
      <c r="C119" s="2">
        <f t="shared" ca="1" si="2"/>
        <v>45375</v>
      </c>
      <c r="D119" s="4" t="str">
        <f t="shared" ca="1" si="3"/>
        <v>03:15 PM</v>
      </c>
      <c r="E119" s="4" t="str" cm="1">
        <f t="array" ref="E119">_xlfn.IFS(Membership_Data!D119&lt;=40,"Intense",Membership_Data!D119&gt;40,"Normal")</f>
        <v>Intense</v>
      </c>
      <c r="F119" t="str" cm="1">
        <f t="array" ref="F119">_xlfn.IFS(Membership_Data!D119&lt;=35,"90 Minutes",Membership_Data!D119&gt;=36,"50 Minutes")</f>
        <v>90 Minutes</v>
      </c>
    </row>
    <row r="120" spans="1:6" x14ac:dyDescent="0.3">
      <c r="A120" t="s">
        <v>533</v>
      </c>
      <c r="B120" s="4" t="s">
        <v>136</v>
      </c>
      <c r="C120" s="2">
        <f t="shared" ca="1" si="2"/>
        <v>44939</v>
      </c>
      <c r="D120" s="4" t="str">
        <f t="shared" ca="1" si="3"/>
        <v>04:00 PM</v>
      </c>
      <c r="E120" s="4" t="str" cm="1">
        <f t="array" ref="E120">_xlfn.IFS(Membership_Data!D120&lt;=40,"Intense",Membership_Data!D120&gt;40,"Normal")</f>
        <v>Normal</v>
      </c>
      <c r="F120" t="str" cm="1">
        <f t="array" ref="F120">_xlfn.IFS(Membership_Data!D120&lt;=35,"90 Minutes",Membership_Data!D120&gt;=36,"50 Minutes")</f>
        <v>50 Minutes</v>
      </c>
    </row>
    <row r="121" spans="1:6" x14ac:dyDescent="0.3">
      <c r="A121" t="s">
        <v>534</v>
      </c>
      <c r="B121" s="4" t="s">
        <v>137</v>
      </c>
      <c r="C121" s="2">
        <f t="shared" ca="1" si="2"/>
        <v>45490</v>
      </c>
      <c r="D121" s="4" t="str">
        <f t="shared" ca="1" si="3"/>
        <v>10:50 AM</v>
      </c>
      <c r="E121" s="4" t="str" cm="1">
        <f t="array" ref="E121">_xlfn.IFS(Membership_Data!D121&lt;=40,"Intense",Membership_Data!D121&gt;40,"Normal")</f>
        <v>Normal</v>
      </c>
      <c r="F121" t="str" cm="1">
        <f t="array" ref="F121">_xlfn.IFS(Membership_Data!D121&lt;=35,"90 Minutes",Membership_Data!D121&gt;=36,"50 Minutes")</f>
        <v>50 Minutes</v>
      </c>
    </row>
    <row r="122" spans="1:6" x14ac:dyDescent="0.3">
      <c r="A122" t="s">
        <v>535</v>
      </c>
      <c r="B122" s="4" t="s">
        <v>138</v>
      </c>
      <c r="C122" s="2">
        <f t="shared" ca="1" si="2"/>
        <v>45223</v>
      </c>
      <c r="D122" s="4" t="str">
        <f t="shared" ca="1" si="3"/>
        <v>05:07 PM</v>
      </c>
      <c r="E122" s="4" t="str" cm="1">
        <f t="array" ref="E122">_xlfn.IFS(Membership_Data!D122&lt;=40,"Intense",Membership_Data!D122&gt;40,"Normal")</f>
        <v>Normal</v>
      </c>
      <c r="F122" t="str" cm="1">
        <f t="array" ref="F122">_xlfn.IFS(Membership_Data!D122&lt;=35,"90 Minutes",Membership_Data!D122&gt;=36,"50 Minutes")</f>
        <v>50 Minutes</v>
      </c>
    </row>
    <row r="123" spans="1:6" x14ac:dyDescent="0.3">
      <c r="A123" t="s">
        <v>536</v>
      </c>
      <c r="B123" s="4" t="s">
        <v>139</v>
      </c>
      <c r="C123" s="2">
        <f t="shared" ca="1" si="2"/>
        <v>45533</v>
      </c>
      <c r="D123" s="4" t="str">
        <f t="shared" ca="1" si="3"/>
        <v>10:49 AM</v>
      </c>
      <c r="E123" s="4" t="str" cm="1">
        <f t="array" ref="E123">_xlfn.IFS(Membership_Data!D123&lt;=40,"Intense",Membership_Data!D123&gt;40,"Normal")</f>
        <v>Intense</v>
      </c>
      <c r="F123" t="str" cm="1">
        <f t="array" ref="F123">_xlfn.IFS(Membership_Data!D123&lt;=35,"90 Minutes",Membership_Data!D123&gt;=36,"50 Minutes")</f>
        <v>90 Minutes</v>
      </c>
    </row>
    <row r="124" spans="1:6" x14ac:dyDescent="0.3">
      <c r="A124" t="s">
        <v>537</v>
      </c>
      <c r="B124" s="4" t="s">
        <v>140</v>
      </c>
      <c r="C124" s="2">
        <f t="shared" ca="1" si="2"/>
        <v>45841</v>
      </c>
      <c r="D124" s="4" t="str">
        <f t="shared" ca="1" si="3"/>
        <v>12:05 PM</v>
      </c>
      <c r="E124" s="4" t="str" cm="1">
        <f t="array" ref="E124">_xlfn.IFS(Membership_Data!D124&lt;=40,"Intense",Membership_Data!D124&gt;40,"Normal")</f>
        <v>Intense</v>
      </c>
      <c r="F124" t="str" cm="1">
        <f t="array" ref="F124">_xlfn.IFS(Membership_Data!D124&lt;=35,"90 Minutes",Membership_Data!D124&gt;=36,"50 Minutes")</f>
        <v>90 Minutes</v>
      </c>
    </row>
    <row r="125" spans="1:6" x14ac:dyDescent="0.3">
      <c r="A125" t="s">
        <v>538</v>
      </c>
      <c r="B125" s="4" t="s">
        <v>141</v>
      </c>
      <c r="C125" s="2">
        <f t="shared" ca="1" si="2"/>
        <v>45391</v>
      </c>
      <c r="D125" s="4" t="str">
        <f t="shared" ca="1" si="3"/>
        <v>11:00 AM</v>
      </c>
      <c r="E125" s="4" t="str" cm="1">
        <f t="array" ref="E125">_xlfn.IFS(Membership_Data!D125&lt;=40,"Intense",Membership_Data!D125&gt;40,"Normal")</f>
        <v>Normal</v>
      </c>
      <c r="F125" t="str" cm="1">
        <f t="array" ref="F125">_xlfn.IFS(Membership_Data!D125&lt;=35,"90 Minutes",Membership_Data!D125&gt;=36,"50 Minutes")</f>
        <v>50 Minutes</v>
      </c>
    </row>
    <row r="126" spans="1:6" x14ac:dyDescent="0.3">
      <c r="A126" t="s">
        <v>539</v>
      </c>
      <c r="B126" s="4" t="s">
        <v>142</v>
      </c>
      <c r="C126" s="2">
        <f t="shared" ca="1" si="2"/>
        <v>45316</v>
      </c>
      <c r="D126" s="4" t="str">
        <f t="shared" ca="1" si="3"/>
        <v>12:39 PM</v>
      </c>
      <c r="E126" s="4" t="str" cm="1">
        <f t="array" ref="E126">_xlfn.IFS(Membership_Data!D126&lt;=40,"Intense",Membership_Data!D126&gt;40,"Normal")</f>
        <v>Normal</v>
      </c>
      <c r="F126" t="str" cm="1">
        <f t="array" ref="F126">_xlfn.IFS(Membership_Data!D126&lt;=35,"90 Minutes",Membership_Data!D126&gt;=36,"50 Minutes")</f>
        <v>50 Minutes</v>
      </c>
    </row>
    <row r="127" spans="1:6" x14ac:dyDescent="0.3">
      <c r="A127" t="s">
        <v>540</v>
      </c>
      <c r="B127" s="4" t="s">
        <v>143</v>
      </c>
      <c r="C127" s="2">
        <f t="shared" ca="1" si="2"/>
        <v>45527</v>
      </c>
      <c r="D127" s="4" t="str">
        <f t="shared" ca="1" si="3"/>
        <v>09:19 AM</v>
      </c>
      <c r="E127" s="4" t="str" cm="1">
        <f t="array" ref="E127">_xlfn.IFS(Membership_Data!D127&lt;=40,"Intense",Membership_Data!D127&gt;40,"Normal")</f>
        <v>Intense</v>
      </c>
      <c r="F127" t="str" cm="1">
        <f t="array" ref="F127">_xlfn.IFS(Membership_Data!D127&lt;=35,"90 Minutes",Membership_Data!D127&gt;=36,"50 Minutes")</f>
        <v>90 Minutes</v>
      </c>
    </row>
    <row r="128" spans="1:6" x14ac:dyDescent="0.3">
      <c r="A128" t="s">
        <v>541</v>
      </c>
      <c r="B128" s="4" t="s">
        <v>144</v>
      </c>
      <c r="C128" s="2">
        <f t="shared" ca="1" si="2"/>
        <v>45198</v>
      </c>
      <c r="D128" s="4" t="str">
        <f t="shared" ca="1" si="3"/>
        <v>08:01 PM</v>
      </c>
      <c r="E128" s="4" t="str" cm="1">
        <f t="array" ref="E128">_xlfn.IFS(Membership_Data!D128&lt;=40,"Intense",Membership_Data!D128&gt;40,"Normal")</f>
        <v>Normal</v>
      </c>
      <c r="F128" t="str" cm="1">
        <f t="array" ref="F128">_xlfn.IFS(Membership_Data!D128&lt;=35,"90 Minutes",Membership_Data!D128&gt;=36,"50 Minutes")</f>
        <v>50 Minutes</v>
      </c>
    </row>
    <row r="129" spans="1:6" x14ac:dyDescent="0.3">
      <c r="A129" t="s">
        <v>542</v>
      </c>
      <c r="B129" s="4" t="s">
        <v>145</v>
      </c>
      <c r="C129" s="2">
        <f t="shared" ca="1" si="2"/>
        <v>45094</v>
      </c>
      <c r="D129" s="4" t="str">
        <f t="shared" ca="1" si="3"/>
        <v>09:12 PM</v>
      </c>
      <c r="E129" s="4" t="str" cm="1">
        <f t="array" ref="E129">_xlfn.IFS(Membership_Data!D129&lt;=40,"Intense",Membership_Data!D129&gt;40,"Normal")</f>
        <v>Normal</v>
      </c>
      <c r="F129" t="str" cm="1">
        <f t="array" ref="F129">_xlfn.IFS(Membership_Data!D129&lt;=35,"90 Minutes",Membership_Data!D129&gt;=36,"50 Minutes")</f>
        <v>50 Minutes</v>
      </c>
    </row>
    <row r="130" spans="1:6" x14ac:dyDescent="0.3">
      <c r="A130" t="s">
        <v>543</v>
      </c>
      <c r="B130" s="4" t="s">
        <v>146</v>
      </c>
      <c r="C130" s="2">
        <f t="shared" ca="1" si="2"/>
        <v>45473</v>
      </c>
      <c r="D130" s="4" t="str">
        <f t="shared" ca="1" si="3"/>
        <v>09:27 AM</v>
      </c>
      <c r="E130" s="4" t="str" cm="1">
        <f t="array" ref="E130">_xlfn.IFS(Membership_Data!D130&lt;=40,"Intense",Membership_Data!D130&gt;40,"Normal")</f>
        <v>Intense</v>
      </c>
      <c r="F130" t="str" cm="1">
        <f t="array" ref="F130">_xlfn.IFS(Membership_Data!D130&lt;=35,"90 Minutes",Membership_Data!D130&gt;=36,"50 Minutes")</f>
        <v>90 Minutes</v>
      </c>
    </row>
    <row r="131" spans="1:6" x14ac:dyDescent="0.3">
      <c r="A131" t="s">
        <v>544</v>
      </c>
      <c r="B131" s="4" t="s">
        <v>147</v>
      </c>
      <c r="C131" s="2">
        <f t="shared" ref="C131:C194" ca="1" si="4">RANDBETWEEN(DATE(2023,1,1), DATE(2025,12,31))</f>
        <v>45221</v>
      </c>
      <c r="D131" s="4" t="str">
        <f t="shared" ref="D131:D194" ca="1" si="5">TEXT(RANDBETWEEN(TIME(6,0,0)*86400, TIME(22,0,0)*86400)/86400,"hh:mm AM/PM")</f>
        <v>09:14 AM</v>
      </c>
      <c r="E131" s="4" t="str" cm="1">
        <f t="array" ref="E131">_xlfn.IFS(Membership_Data!D131&lt;=40,"Intense",Membership_Data!D131&gt;40,"Normal")</f>
        <v>Normal</v>
      </c>
      <c r="F131" t="str" cm="1">
        <f t="array" ref="F131">_xlfn.IFS(Membership_Data!D131&lt;=35,"90 Minutes",Membership_Data!D131&gt;=36,"50 Minutes")</f>
        <v>50 Minutes</v>
      </c>
    </row>
    <row r="132" spans="1:6" x14ac:dyDescent="0.3">
      <c r="A132" t="s">
        <v>545</v>
      </c>
      <c r="B132" s="4" t="s">
        <v>148</v>
      </c>
      <c r="C132" s="2">
        <f t="shared" ca="1" si="4"/>
        <v>45484</v>
      </c>
      <c r="D132" s="4" t="str">
        <f t="shared" ca="1" si="5"/>
        <v>09:36 PM</v>
      </c>
      <c r="E132" s="4" t="str" cm="1">
        <f t="array" ref="E132">_xlfn.IFS(Membership_Data!D132&lt;=40,"Intense",Membership_Data!D132&gt;40,"Normal")</f>
        <v>Intense</v>
      </c>
      <c r="F132" t="str" cm="1">
        <f t="array" ref="F132">_xlfn.IFS(Membership_Data!D132&lt;=35,"90 Minutes",Membership_Data!D132&gt;=36,"50 Minutes")</f>
        <v>90 Minutes</v>
      </c>
    </row>
    <row r="133" spans="1:6" x14ac:dyDescent="0.3">
      <c r="A133" t="s">
        <v>546</v>
      </c>
      <c r="B133" s="4" t="s">
        <v>149</v>
      </c>
      <c r="C133" s="2">
        <f t="shared" ca="1" si="4"/>
        <v>45662</v>
      </c>
      <c r="D133" s="4" t="str">
        <f t="shared" ca="1" si="5"/>
        <v>09:40 AM</v>
      </c>
      <c r="E133" s="4" t="str" cm="1">
        <f t="array" ref="E133">_xlfn.IFS(Membership_Data!D133&lt;=40,"Intense",Membership_Data!D133&gt;40,"Normal")</f>
        <v>Normal</v>
      </c>
      <c r="F133" t="str" cm="1">
        <f t="array" ref="F133">_xlfn.IFS(Membership_Data!D133&lt;=35,"90 Minutes",Membership_Data!D133&gt;=36,"50 Minutes")</f>
        <v>50 Minutes</v>
      </c>
    </row>
    <row r="134" spans="1:6" x14ac:dyDescent="0.3">
      <c r="A134" t="s">
        <v>547</v>
      </c>
      <c r="B134" s="4" t="s">
        <v>150</v>
      </c>
      <c r="C134" s="2">
        <f t="shared" ca="1" si="4"/>
        <v>45031</v>
      </c>
      <c r="D134" s="4" t="str">
        <f t="shared" ca="1" si="5"/>
        <v>07:45 PM</v>
      </c>
      <c r="E134" s="4" t="str" cm="1">
        <f t="array" ref="E134">_xlfn.IFS(Membership_Data!D134&lt;=40,"Intense",Membership_Data!D134&gt;40,"Normal")</f>
        <v>Normal</v>
      </c>
      <c r="F134" t="str" cm="1">
        <f t="array" ref="F134">_xlfn.IFS(Membership_Data!D134&lt;=35,"90 Minutes",Membership_Data!D134&gt;=36,"50 Minutes")</f>
        <v>50 Minutes</v>
      </c>
    </row>
    <row r="135" spans="1:6" x14ac:dyDescent="0.3">
      <c r="A135" t="s">
        <v>548</v>
      </c>
      <c r="B135" s="4" t="s">
        <v>151</v>
      </c>
      <c r="C135" s="2">
        <f t="shared" ca="1" si="4"/>
        <v>45338</v>
      </c>
      <c r="D135" s="4" t="str">
        <f t="shared" ca="1" si="5"/>
        <v>07:48 AM</v>
      </c>
      <c r="E135" s="4" t="str" cm="1">
        <f t="array" ref="E135">_xlfn.IFS(Membership_Data!D135&lt;=40,"Intense",Membership_Data!D135&gt;40,"Normal")</f>
        <v>Intense</v>
      </c>
      <c r="F135" t="str" cm="1">
        <f t="array" ref="F135">_xlfn.IFS(Membership_Data!D135&lt;=35,"90 Minutes",Membership_Data!D135&gt;=36,"50 Minutes")</f>
        <v>90 Minutes</v>
      </c>
    </row>
    <row r="136" spans="1:6" x14ac:dyDescent="0.3">
      <c r="A136" t="s">
        <v>549</v>
      </c>
      <c r="B136" s="4" t="s">
        <v>152</v>
      </c>
      <c r="C136" s="2">
        <f t="shared" ca="1" si="4"/>
        <v>45217</v>
      </c>
      <c r="D136" s="4" t="str">
        <f t="shared" ca="1" si="5"/>
        <v>07:29 PM</v>
      </c>
      <c r="E136" s="4" t="str" cm="1">
        <f t="array" ref="E136">_xlfn.IFS(Membership_Data!D136&lt;=40,"Intense",Membership_Data!D136&gt;40,"Normal")</f>
        <v>Intense</v>
      </c>
      <c r="F136" t="str" cm="1">
        <f t="array" ref="F136">_xlfn.IFS(Membership_Data!D136&lt;=35,"90 Minutes",Membership_Data!D136&gt;=36,"50 Minutes")</f>
        <v>90 Minutes</v>
      </c>
    </row>
    <row r="137" spans="1:6" x14ac:dyDescent="0.3">
      <c r="A137" t="s">
        <v>550</v>
      </c>
      <c r="B137" s="4" t="s">
        <v>153</v>
      </c>
      <c r="C137" s="2">
        <f t="shared" ca="1" si="4"/>
        <v>45322</v>
      </c>
      <c r="D137" s="4" t="str">
        <f t="shared" ca="1" si="5"/>
        <v>07:13 AM</v>
      </c>
      <c r="E137" s="4" t="str" cm="1">
        <f t="array" ref="E137">_xlfn.IFS(Membership_Data!D137&lt;=40,"Intense",Membership_Data!D137&gt;40,"Normal")</f>
        <v>Normal</v>
      </c>
      <c r="F137" t="str" cm="1">
        <f t="array" ref="F137">_xlfn.IFS(Membership_Data!D137&lt;=35,"90 Minutes",Membership_Data!D137&gt;=36,"50 Minutes")</f>
        <v>50 Minutes</v>
      </c>
    </row>
    <row r="138" spans="1:6" x14ac:dyDescent="0.3">
      <c r="A138" t="s">
        <v>551</v>
      </c>
      <c r="B138" s="4" t="s">
        <v>154</v>
      </c>
      <c r="C138" s="2">
        <f t="shared" ca="1" si="4"/>
        <v>45470</v>
      </c>
      <c r="D138" s="4" t="str">
        <f t="shared" ca="1" si="5"/>
        <v>09:39 PM</v>
      </c>
      <c r="E138" s="4" t="str" cm="1">
        <f t="array" ref="E138">_xlfn.IFS(Membership_Data!D138&lt;=40,"Intense",Membership_Data!D138&gt;40,"Normal")</f>
        <v>Normal</v>
      </c>
      <c r="F138" t="str" cm="1">
        <f t="array" ref="F138">_xlfn.IFS(Membership_Data!D138&lt;=35,"90 Minutes",Membership_Data!D138&gt;=36,"50 Minutes")</f>
        <v>50 Minutes</v>
      </c>
    </row>
    <row r="139" spans="1:6" x14ac:dyDescent="0.3">
      <c r="A139" t="s">
        <v>552</v>
      </c>
      <c r="B139" s="4" t="s">
        <v>155</v>
      </c>
      <c r="C139" s="2">
        <f t="shared" ca="1" si="4"/>
        <v>45597</v>
      </c>
      <c r="D139" s="4" t="str">
        <f t="shared" ca="1" si="5"/>
        <v>07:51 PM</v>
      </c>
      <c r="E139" s="4" t="str" cm="1">
        <f t="array" ref="E139">_xlfn.IFS(Membership_Data!D139&lt;=40,"Intense",Membership_Data!D139&gt;40,"Normal")</f>
        <v>Normal</v>
      </c>
      <c r="F139" t="str" cm="1">
        <f t="array" ref="F139">_xlfn.IFS(Membership_Data!D139&lt;=35,"90 Minutes",Membership_Data!D139&gt;=36,"50 Minutes")</f>
        <v>50 Minutes</v>
      </c>
    </row>
    <row r="140" spans="1:6" x14ac:dyDescent="0.3">
      <c r="A140" t="s">
        <v>553</v>
      </c>
      <c r="B140" s="4" t="s">
        <v>156</v>
      </c>
      <c r="C140" s="2">
        <f t="shared" ca="1" si="4"/>
        <v>45467</v>
      </c>
      <c r="D140" s="4" t="str">
        <f t="shared" ca="1" si="5"/>
        <v>06:00 AM</v>
      </c>
      <c r="E140" s="4" t="str" cm="1">
        <f t="array" ref="E140">_xlfn.IFS(Membership_Data!D140&lt;=40,"Intense",Membership_Data!D140&gt;40,"Normal")</f>
        <v>Intense</v>
      </c>
      <c r="F140" t="str" cm="1">
        <f t="array" ref="F140">_xlfn.IFS(Membership_Data!D140&lt;=35,"90 Minutes",Membership_Data!D140&gt;=36,"50 Minutes")</f>
        <v>90 Minutes</v>
      </c>
    </row>
    <row r="141" spans="1:6" x14ac:dyDescent="0.3">
      <c r="A141" t="s">
        <v>554</v>
      </c>
      <c r="B141" s="4" t="s">
        <v>157</v>
      </c>
      <c r="C141" s="2">
        <f t="shared" ca="1" si="4"/>
        <v>44957</v>
      </c>
      <c r="D141" s="4" t="str">
        <f t="shared" ca="1" si="5"/>
        <v>07:32 PM</v>
      </c>
      <c r="E141" s="4" t="str" cm="1">
        <f t="array" ref="E141">_xlfn.IFS(Membership_Data!D141&lt;=40,"Intense",Membership_Data!D141&gt;40,"Normal")</f>
        <v>Normal</v>
      </c>
      <c r="F141" t="str" cm="1">
        <f t="array" ref="F141">_xlfn.IFS(Membership_Data!D141&lt;=35,"90 Minutes",Membership_Data!D141&gt;=36,"50 Minutes")</f>
        <v>50 Minutes</v>
      </c>
    </row>
    <row r="142" spans="1:6" x14ac:dyDescent="0.3">
      <c r="A142" t="s">
        <v>555</v>
      </c>
      <c r="B142" s="4" t="s">
        <v>158</v>
      </c>
      <c r="C142" s="2">
        <f t="shared" ca="1" si="4"/>
        <v>45806</v>
      </c>
      <c r="D142" s="4" t="str">
        <f t="shared" ca="1" si="5"/>
        <v>02:32 PM</v>
      </c>
      <c r="E142" s="4" t="str" cm="1">
        <f t="array" ref="E142">_xlfn.IFS(Membership_Data!D142&lt;=40,"Intense",Membership_Data!D142&gt;40,"Normal")</f>
        <v>Intense</v>
      </c>
      <c r="F142" t="str" cm="1">
        <f t="array" ref="F142">_xlfn.IFS(Membership_Data!D142&lt;=35,"90 Minutes",Membership_Data!D142&gt;=36,"50 Minutes")</f>
        <v>90 Minutes</v>
      </c>
    </row>
    <row r="143" spans="1:6" x14ac:dyDescent="0.3">
      <c r="A143" t="s">
        <v>556</v>
      </c>
      <c r="B143" s="4" t="s">
        <v>159</v>
      </c>
      <c r="C143" s="2">
        <f t="shared" ca="1" si="4"/>
        <v>45991</v>
      </c>
      <c r="D143" s="4" t="str">
        <f t="shared" ca="1" si="5"/>
        <v>10:33 AM</v>
      </c>
      <c r="E143" s="4" t="str" cm="1">
        <f t="array" ref="E143">_xlfn.IFS(Membership_Data!D143&lt;=40,"Intense",Membership_Data!D143&gt;40,"Normal")</f>
        <v>Normal</v>
      </c>
      <c r="F143" t="str" cm="1">
        <f t="array" ref="F143">_xlfn.IFS(Membership_Data!D143&lt;=35,"90 Minutes",Membership_Data!D143&gt;=36,"50 Minutes")</f>
        <v>50 Minutes</v>
      </c>
    </row>
    <row r="144" spans="1:6" x14ac:dyDescent="0.3">
      <c r="A144" t="s">
        <v>557</v>
      </c>
      <c r="B144" s="4" t="s">
        <v>160</v>
      </c>
      <c r="C144" s="2">
        <f t="shared" ca="1" si="4"/>
        <v>46005</v>
      </c>
      <c r="D144" s="4" t="str">
        <f t="shared" ca="1" si="5"/>
        <v>06:56 PM</v>
      </c>
      <c r="E144" s="4" t="str" cm="1">
        <f t="array" ref="E144">_xlfn.IFS(Membership_Data!D144&lt;=40,"Intense",Membership_Data!D144&gt;40,"Normal")</f>
        <v>Normal</v>
      </c>
      <c r="F144" t="str" cm="1">
        <f t="array" ref="F144">_xlfn.IFS(Membership_Data!D144&lt;=35,"90 Minutes",Membership_Data!D144&gt;=36,"50 Minutes")</f>
        <v>50 Minutes</v>
      </c>
    </row>
    <row r="145" spans="1:6" x14ac:dyDescent="0.3">
      <c r="A145" t="s">
        <v>558</v>
      </c>
      <c r="B145" s="4" t="s">
        <v>161</v>
      </c>
      <c r="C145" s="2">
        <f t="shared" ca="1" si="4"/>
        <v>45505</v>
      </c>
      <c r="D145" s="4" t="str">
        <f t="shared" ca="1" si="5"/>
        <v>11:24 AM</v>
      </c>
      <c r="E145" s="4" t="str" cm="1">
        <f t="array" ref="E145">_xlfn.IFS(Membership_Data!D145&lt;=40,"Intense",Membership_Data!D145&gt;40,"Normal")</f>
        <v>Normal</v>
      </c>
      <c r="F145" t="str" cm="1">
        <f t="array" ref="F145">_xlfn.IFS(Membership_Data!D145&lt;=35,"90 Minutes",Membership_Data!D145&gt;=36,"50 Minutes")</f>
        <v>50 Minutes</v>
      </c>
    </row>
    <row r="146" spans="1:6" x14ac:dyDescent="0.3">
      <c r="A146" t="s">
        <v>559</v>
      </c>
      <c r="B146" s="4" t="s">
        <v>162</v>
      </c>
      <c r="C146" s="2">
        <f t="shared" ca="1" si="4"/>
        <v>45042</v>
      </c>
      <c r="D146" s="4" t="str">
        <f t="shared" ca="1" si="5"/>
        <v>07:39 PM</v>
      </c>
      <c r="E146" s="4" t="str" cm="1">
        <f t="array" ref="E146">_xlfn.IFS(Membership_Data!D146&lt;=40,"Intense",Membership_Data!D146&gt;40,"Normal")</f>
        <v>Normal</v>
      </c>
      <c r="F146" t="str" cm="1">
        <f t="array" ref="F146">_xlfn.IFS(Membership_Data!D146&lt;=35,"90 Minutes",Membership_Data!D146&gt;=36,"50 Minutes")</f>
        <v>50 Minutes</v>
      </c>
    </row>
    <row r="147" spans="1:6" x14ac:dyDescent="0.3">
      <c r="A147" t="s">
        <v>560</v>
      </c>
      <c r="B147" s="4" t="s">
        <v>163</v>
      </c>
      <c r="C147" s="2">
        <f t="shared" ca="1" si="4"/>
        <v>45175</v>
      </c>
      <c r="D147" s="4" t="str">
        <f t="shared" ca="1" si="5"/>
        <v>03:54 PM</v>
      </c>
      <c r="E147" s="4" t="str" cm="1">
        <f t="array" ref="E147">_xlfn.IFS(Membership_Data!D147&lt;=40,"Intense",Membership_Data!D147&gt;40,"Normal")</f>
        <v>Normal</v>
      </c>
      <c r="F147" t="str" cm="1">
        <f t="array" ref="F147">_xlfn.IFS(Membership_Data!D147&lt;=35,"90 Minutes",Membership_Data!D147&gt;=36,"50 Minutes")</f>
        <v>50 Minutes</v>
      </c>
    </row>
    <row r="148" spans="1:6" x14ac:dyDescent="0.3">
      <c r="A148" t="s">
        <v>561</v>
      </c>
      <c r="B148" s="4" t="s">
        <v>164</v>
      </c>
      <c r="C148" s="2">
        <f t="shared" ca="1" si="4"/>
        <v>45578</v>
      </c>
      <c r="D148" s="4" t="str">
        <f t="shared" ca="1" si="5"/>
        <v>11:20 AM</v>
      </c>
      <c r="E148" s="4" t="str" cm="1">
        <f t="array" ref="E148">_xlfn.IFS(Membership_Data!D148&lt;=40,"Intense",Membership_Data!D148&gt;40,"Normal")</f>
        <v>Normal</v>
      </c>
      <c r="F148" t="str" cm="1">
        <f t="array" ref="F148">_xlfn.IFS(Membership_Data!D148&lt;=35,"90 Minutes",Membership_Data!D148&gt;=36,"50 Minutes")</f>
        <v>50 Minutes</v>
      </c>
    </row>
    <row r="149" spans="1:6" x14ac:dyDescent="0.3">
      <c r="A149" t="s">
        <v>562</v>
      </c>
      <c r="B149" s="4" t="s">
        <v>165</v>
      </c>
      <c r="C149" s="2">
        <f t="shared" ca="1" si="4"/>
        <v>46016</v>
      </c>
      <c r="D149" s="4" t="str">
        <f t="shared" ca="1" si="5"/>
        <v>07:03 AM</v>
      </c>
      <c r="E149" s="4" t="str" cm="1">
        <f t="array" ref="E149">_xlfn.IFS(Membership_Data!D149&lt;=40,"Intense",Membership_Data!D149&gt;40,"Normal")</f>
        <v>Normal</v>
      </c>
      <c r="F149" t="str" cm="1">
        <f t="array" ref="F149">_xlfn.IFS(Membership_Data!D149&lt;=35,"90 Minutes",Membership_Data!D149&gt;=36,"50 Minutes")</f>
        <v>50 Minutes</v>
      </c>
    </row>
    <row r="150" spans="1:6" x14ac:dyDescent="0.3">
      <c r="A150" t="s">
        <v>563</v>
      </c>
      <c r="B150" s="4" t="s">
        <v>166</v>
      </c>
      <c r="C150" s="2">
        <f t="shared" ca="1" si="4"/>
        <v>45478</v>
      </c>
      <c r="D150" s="4" t="str">
        <f t="shared" ca="1" si="5"/>
        <v>09:29 PM</v>
      </c>
      <c r="E150" s="4" t="str" cm="1">
        <f t="array" ref="E150">_xlfn.IFS(Membership_Data!D150&lt;=40,"Intense",Membership_Data!D150&gt;40,"Normal")</f>
        <v>Intense</v>
      </c>
      <c r="F150" t="str" cm="1">
        <f t="array" ref="F150">_xlfn.IFS(Membership_Data!D150&lt;=35,"90 Minutes",Membership_Data!D150&gt;=36,"50 Minutes")</f>
        <v>50 Minutes</v>
      </c>
    </row>
    <row r="151" spans="1:6" x14ac:dyDescent="0.3">
      <c r="A151" t="s">
        <v>564</v>
      </c>
      <c r="B151" s="4" t="s">
        <v>167</v>
      </c>
      <c r="C151" s="2">
        <f t="shared" ca="1" si="4"/>
        <v>45608</v>
      </c>
      <c r="D151" s="4" t="str">
        <f t="shared" ca="1" si="5"/>
        <v>06:07 AM</v>
      </c>
      <c r="E151" s="4" t="str" cm="1">
        <f t="array" ref="E151">_xlfn.IFS(Membership_Data!D151&lt;=40,"Intense",Membership_Data!D151&gt;40,"Normal")</f>
        <v>Intense</v>
      </c>
      <c r="F151" t="str" cm="1">
        <f t="array" ref="F151">_xlfn.IFS(Membership_Data!D151&lt;=35,"90 Minutes",Membership_Data!D151&gt;=36,"50 Minutes")</f>
        <v>50 Minutes</v>
      </c>
    </row>
    <row r="152" spans="1:6" x14ac:dyDescent="0.3">
      <c r="A152" t="s">
        <v>565</v>
      </c>
      <c r="B152" s="4" t="s">
        <v>168</v>
      </c>
      <c r="C152" s="2">
        <f t="shared" ca="1" si="4"/>
        <v>45224</v>
      </c>
      <c r="D152" s="4" t="str">
        <f t="shared" ca="1" si="5"/>
        <v>12:32 PM</v>
      </c>
      <c r="E152" s="4" t="str" cm="1">
        <f t="array" ref="E152">_xlfn.IFS(Membership_Data!D152&lt;=40,"Intense",Membership_Data!D152&gt;40,"Normal")</f>
        <v>Intense</v>
      </c>
      <c r="F152" t="str" cm="1">
        <f t="array" ref="F152">_xlfn.IFS(Membership_Data!D152&lt;=35,"90 Minutes",Membership_Data!D152&gt;=36,"50 Minutes")</f>
        <v>90 Minutes</v>
      </c>
    </row>
    <row r="153" spans="1:6" x14ac:dyDescent="0.3">
      <c r="A153" t="s">
        <v>566</v>
      </c>
      <c r="B153" s="4" t="s">
        <v>169</v>
      </c>
      <c r="C153" s="2">
        <f t="shared" ca="1" si="4"/>
        <v>45681</v>
      </c>
      <c r="D153" s="4" t="str">
        <f t="shared" ca="1" si="5"/>
        <v>10:06 AM</v>
      </c>
      <c r="E153" s="4" t="str" cm="1">
        <f t="array" ref="E153">_xlfn.IFS(Membership_Data!D153&lt;=40,"Intense",Membership_Data!D153&gt;40,"Normal")</f>
        <v>Intense</v>
      </c>
      <c r="F153" t="str" cm="1">
        <f t="array" ref="F153">_xlfn.IFS(Membership_Data!D153&lt;=35,"90 Minutes",Membership_Data!D153&gt;=36,"50 Minutes")</f>
        <v>50 Minutes</v>
      </c>
    </row>
    <row r="154" spans="1:6" x14ac:dyDescent="0.3">
      <c r="A154" t="s">
        <v>567</v>
      </c>
      <c r="B154" s="4" t="s">
        <v>170</v>
      </c>
      <c r="C154" s="2">
        <f t="shared" ca="1" si="4"/>
        <v>45523</v>
      </c>
      <c r="D154" s="4" t="str">
        <f t="shared" ca="1" si="5"/>
        <v>04:48 PM</v>
      </c>
      <c r="E154" s="4" t="str" cm="1">
        <f t="array" ref="E154">_xlfn.IFS(Membership_Data!D154&lt;=40,"Intense",Membership_Data!D154&gt;40,"Normal")</f>
        <v>Normal</v>
      </c>
      <c r="F154" t="str" cm="1">
        <f t="array" ref="F154">_xlfn.IFS(Membership_Data!D154&lt;=35,"90 Minutes",Membership_Data!D154&gt;=36,"50 Minutes")</f>
        <v>50 Minutes</v>
      </c>
    </row>
    <row r="155" spans="1:6" x14ac:dyDescent="0.3">
      <c r="A155" t="s">
        <v>568</v>
      </c>
      <c r="B155" s="4" t="s">
        <v>171</v>
      </c>
      <c r="C155" s="2">
        <f t="shared" ca="1" si="4"/>
        <v>44932</v>
      </c>
      <c r="D155" s="4" t="str">
        <f t="shared" ca="1" si="5"/>
        <v>01:33 PM</v>
      </c>
      <c r="E155" s="4" t="str" cm="1">
        <f t="array" ref="E155">_xlfn.IFS(Membership_Data!D155&lt;=40,"Intense",Membership_Data!D155&gt;40,"Normal")</f>
        <v>Intense</v>
      </c>
      <c r="F155" t="str" cm="1">
        <f t="array" ref="F155">_xlfn.IFS(Membership_Data!D155&lt;=35,"90 Minutes",Membership_Data!D155&gt;=36,"50 Minutes")</f>
        <v>90 Minutes</v>
      </c>
    </row>
    <row r="156" spans="1:6" x14ac:dyDescent="0.3">
      <c r="A156" t="s">
        <v>569</v>
      </c>
      <c r="B156" s="4" t="s">
        <v>172</v>
      </c>
      <c r="C156" s="2">
        <f t="shared" ca="1" si="4"/>
        <v>45699</v>
      </c>
      <c r="D156" s="4" t="str">
        <f t="shared" ca="1" si="5"/>
        <v>04:24 PM</v>
      </c>
      <c r="E156" s="4" t="str" cm="1">
        <f t="array" ref="E156">_xlfn.IFS(Membership_Data!D156&lt;=40,"Intense",Membership_Data!D156&gt;40,"Normal")</f>
        <v>Intense</v>
      </c>
      <c r="F156" t="str" cm="1">
        <f t="array" ref="F156">_xlfn.IFS(Membership_Data!D156&lt;=35,"90 Minutes",Membership_Data!D156&gt;=36,"50 Minutes")</f>
        <v>90 Minutes</v>
      </c>
    </row>
    <row r="157" spans="1:6" x14ac:dyDescent="0.3">
      <c r="A157" t="s">
        <v>570</v>
      </c>
      <c r="B157" s="4" t="s">
        <v>173</v>
      </c>
      <c r="C157" s="2">
        <f t="shared" ca="1" si="4"/>
        <v>45234</v>
      </c>
      <c r="D157" s="4" t="str">
        <f t="shared" ca="1" si="5"/>
        <v>01:10 PM</v>
      </c>
      <c r="E157" s="4" t="str" cm="1">
        <f t="array" ref="E157">_xlfn.IFS(Membership_Data!D157&lt;=40,"Intense",Membership_Data!D157&gt;40,"Normal")</f>
        <v>Intense</v>
      </c>
      <c r="F157" t="str" cm="1">
        <f t="array" ref="F157">_xlfn.IFS(Membership_Data!D157&lt;=35,"90 Minutes",Membership_Data!D157&gt;=36,"50 Minutes")</f>
        <v>90 Minutes</v>
      </c>
    </row>
    <row r="158" spans="1:6" x14ac:dyDescent="0.3">
      <c r="A158" t="s">
        <v>571</v>
      </c>
      <c r="B158" s="4" t="s">
        <v>174</v>
      </c>
      <c r="C158" s="2">
        <f t="shared" ca="1" si="4"/>
        <v>45435</v>
      </c>
      <c r="D158" s="4" t="str">
        <f t="shared" ca="1" si="5"/>
        <v>08:43 PM</v>
      </c>
      <c r="E158" s="4" t="str" cm="1">
        <f t="array" ref="E158">_xlfn.IFS(Membership_Data!D158&lt;=40,"Intense",Membership_Data!D158&gt;40,"Normal")</f>
        <v>Normal</v>
      </c>
      <c r="F158" t="str" cm="1">
        <f t="array" ref="F158">_xlfn.IFS(Membership_Data!D158&lt;=35,"90 Minutes",Membership_Data!D158&gt;=36,"50 Minutes")</f>
        <v>50 Minutes</v>
      </c>
    </row>
    <row r="159" spans="1:6" x14ac:dyDescent="0.3">
      <c r="A159" t="s">
        <v>572</v>
      </c>
      <c r="B159" s="4" t="s">
        <v>175</v>
      </c>
      <c r="C159" s="2">
        <f t="shared" ca="1" si="4"/>
        <v>45933</v>
      </c>
      <c r="D159" s="4" t="str">
        <f t="shared" ca="1" si="5"/>
        <v>09:06 AM</v>
      </c>
      <c r="E159" s="4" t="str" cm="1">
        <f t="array" ref="E159">_xlfn.IFS(Membership_Data!D159&lt;=40,"Intense",Membership_Data!D159&gt;40,"Normal")</f>
        <v>Normal</v>
      </c>
      <c r="F159" t="str" cm="1">
        <f t="array" ref="F159">_xlfn.IFS(Membership_Data!D159&lt;=35,"90 Minutes",Membership_Data!D159&gt;=36,"50 Minutes")</f>
        <v>50 Minutes</v>
      </c>
    </row>
    <row r="160" spans="1:6" x14ac:dyDescent="0.3">
      <c r="A160" t="s">
        <v>573</v>
      </c>
      <c r="B160" s="4" t="s">
        <v>176</v>
      </c>
      <c r="C160" s="2">
        <f t="shared" ca="1" si="4"/>
        <v>45970</v>
      </c>
      <c r="D160" s="4" t="str">
        <f t="shared" ca="1" si="5"/>
        <v>11:00 AM</v>
      </c>
      <c r="E160" s="4" t="str" cm="1">
        <f t="array" ref="E160">_xlfn.IFS(Membership_Data!D160&lt;=40,"Intense",Membership_Data!D160&gt;40,"Normal")</f>
        <v>Normal</v>
      </c>
      <c r="F160" t="str" cm="1">
        <f t="array" ref="F160">_xlfn.IFS(Membership_Data!D160&lt;=35,"90 Minutes",Membership_Data!D160&gt;=36,"50 Minutes")</f>
        <v>50 Minutes</v>
      </c>
    </row>
    <row r="161" spans="1:6" x14ac:dyDescent="0.3">
      <c r="A161" t="s">
        <v>574</v>
      </c>
      <c r="B161" s="4" t="s">
        <v>177</v>
      </c>
      <c r="C161" s="2">
        <f t="shared" ca="1" si="4"/>
        <v>45525</v>
      </c>
      <c r="D161" s="4" t="str">
        <f t="shared" ca="1" si="5"/>
        <v>08:38 AM</v>
      </c>
      <c r="E161" s="4" t="str" cm="1">
        <f t="array" ref="E161">_xlfn.IFS(Membership_Data!D161&lt;=40,"Intense",Membership_Data!D161&gt;40,"Normal")</f>
        <v>Normal</v>
      </c>
      <c r="F161" t="str" cm="1">
        <f t="array" ref="F161">_xlfn.IFS(Membership_Data!D161&lt;=35,"90 Minutes",Membership_Data!D161&gt;=36,"50 Minutes")</f>
        <v>50 Minutes</v>
      </c>
    </row>
    <row r="162" spans="1:6" x14ac:dyDescent="0.3">
      <c r="A162" t="s">
        <v>575</v>
      </c>
      <c r="B162" s="4" t="s">
        <v>178</v>
      </c>
      <c r="C162" s="2">
        <f t="shared" ca="1" si="4"/>
        <v>45808</v>
      </c>
      <c r="D162" s="4" t="str">
        <f t="shared" ca="1" si="5"/>
        <v>02:02 PM</v>
      </c>
      <c r="E162" s="4" t="str" cm="1">
        <f t="array" ref="E162">_xlfn.IFS(Membership_Data!D162&lt;=40,"Intense",Membership_Data!D162&gt;40,"Normal")</f>
        <v>Intense</v>
      </c>
      <c r="F162" t="str" cm="1">
        <f t="array" ref="F162">_xlfn.IFS(Membership_Data!D162&lt;=35,"90 Minutes",Membership_Data!D162&gt;=36,"50 Minutes")</f>
        <v>50 Minutes</v>
      </c>
    </row>
    <row r="163" spans="1:6" x14ac:dyDescent="0.3">
      <c r="A163" t="s">
        <v>576</v>
      </c>
      <c r="B163" s="4" t="s">
        <v>179</v>
      </c>
      <c r="C163" s="2">
        <f t="shared" ca="1" si="4"/>
        <v>45932</v>
      </c>
      <c r="D163" s="4" t="str">
        <f t="shared" ca="1" si="5"/>
        <v>09:12 PM</v>
      </c>
      <c r="E163" s="4" t="str" cm="1">
        <f t="array" ref="E163">_xlfn.IFS(Membership_Data!D163&lt;=40,"Intense",Membership_Data!D163&gt;40,"Normal")</f>
        <v>Normal</v>
      </c>
      <c r="F163" t="str" cm="1">
        <f t="array" ref="F163">_xlfn.IFS(Membership_Data!D163&lt;=35,"90 Minutes",Membership_Data!D163&gt;=36,"50 Minutes")</f>
        <v>50 Minutes</v>
      </c>
    </row>
    <row r="164" spans="1:6" x14ac:dyDescent="0.3">
      <c r="A164" t="s">
        <v>577</v>
      </c>
      <c r="B164" s="4" t="s">
        <v>180</v>
      </c>
      <c r="C164" s="2">
        <f t="shared" ca="1" si="4"/>
        <v>45117</v>
      </c>
      <c r="D164" s="4" t="str">
        <f t="shared" ca="1" si="5"/>
        <v>08:38 PM</v>
      </c>
      <c r="E164" s="4" t="str" cm="1">
        <f t="array" ref="E164">_xlfn.IFS(Membership_Data!D164&lt;=40,"Intense",Membership_Data!D164&gt;40,"Normal")</f>
        <v>Intense</v>
      </c>
      <c r="F164" t="str" cm="1">
        <f t="array" ref="F164">_xlfn.IFS(Membership_Data!D164&lt;=35,"90 Minutes",Membership_Data!D164&gt;=36,"50 Minutes")</f>
        <v>50 Minutes</v>
      </c>
    </row>
    <row r="165" spans="1:6" x14ac:dyDescent="0.3">
      <c r="A165" t="s">
        <v>578</v>
      </c>
      <c r="B165" s="4" t="s">
        <v>181</v>
      </c>
      <c r="C165" s="2">
        <f t="shared" ca="1" si="4"/>
        <v>44939</v>
      </c>
      <c r="D165" s="4" t="str">
        <f t="shared" ca="1" si="5"/>
        <v>07:47 AM</v>
      </c>
      <c r="E165" s="4" t="str" cm="1">
        <f t="array" ref="E165">_xlfn.IFS(Membership_Data!D165&lt;=40,"Intense",Membership_Data!D165&gt;40,"Normal")</f>
        <v>Intense</v>
      </c>
      <c r="F165" t="str" cm="1">
        <f t="array" ref="F165">_xlfn.IFS(Membership_Data!D165&lt;=35,"90 Minutes",Membership_Data!D165&gt;=36,"50 Minutes")</f>
        <v>90 Minutes</v>
      </c>
    </row>
    <row r="166" spans="1:6" x14ac:dyDescent="0.3">
      <c r="A166" t="s">
        <v>579</v>
      </c>
      <c r="B166" s="4" t="s">
        <v>182</v>
      </c>
      <c r="C166" s="2">
        <f t="shared" ca="1" si="4"/>
        <v>45892</v>
      </c>
      <c r="D166" s="4" t="str">
        <f t="shared" ca="1" si="5"/>
        <v>01:56 PM</v>
      </c>
      <c r="E166" s="4" t="str" cm="1">
        <f t="array" ref="E166">_xlfn.IFS(Membership_Data!D166&lt;=40,"Intense",Membership_Data!D166&gt;40,"Normal")</f>
        <v>Normal</v>
      </c>
      <c r="F166" t="str" cm="1">
        <f t="array" ref="F166">_xlfn.IFS(Membership_Data!D166&lt;=35,"90 Minutes",Membership_Data!D166&gt;=36,"50 Minutes")</f>
        <v>50 Minutes</v>
      </c>
    </row>
    <row r="167" spans="1:6" x14ac:dyDescent="0.3">
      <c r="A167" t="s">
        <v>580</v>
      </c>
      <c r="B167" s="4" t="s">
        <v>183</v>
      </c>
      <c r="C167" s="2">
        <f t="shared" ca="1" si="4"/>
        <v>45323</v>
      </c>
      <c r="D167" s="4" t="str">
        <f t="shared" ca="1" si="5"/>
        <v>07:39 AM</v>
      </c>
      <c r="E167" s="4" t="str" cm="1">
        <f t="array" ref="E167">_xlfn.IFS(Membership_Data!D167&lt;=40,"Intense",Membership_Data!D167&gt;40,"Normal")</f>
        <v>Normal</v>
      </c>
      <c r="F167" t="str" cm="1">
        <f t="array" ref="F167">_xlfn.IFS(Membership_Data!D167&lt;=35,"90 Minutes",Membership_Data!D167&gt;=36,"50 Minutes")</f>
        <v>50 Minutes</v>
      </c>
    </row>
    <row r="168" spans="1:6" x14ac:dyDescent="0.3">
      <c r="A168" t="s">
        <v>581</v>
      </c>
      <c r="B168" s="4" t="s">
        <v>184</v>
      </c>
      <c r="C168" s="2">
        <f t="shared" ca="1" si="4"/>
        <v>45307</v>
      </c>
      <c r="D168" s="4" t="str">
        <f t="shared" ca="1" si="5"/>
        <v>09:13 PM</v>
      </c>
      <c r="E168" s="4" t="str" cm="1">
        <f t="array" ref="E168">_xlfn.IFS(Membership_Data!D168&lt;=40,"Intense",Membership_Data!D168&gt;40,"Normal")</f>
        <v>Intense</v>
      </c>
      <c r="F168" t="str" cm="1">
        <f t="array" ref="F168">_xlfn.IFS(Membership_Data!D168&lt;=35,"90 Minutes",Membership_Data!D168&gt;=36,"50 Minutes")</f>
        <v>90 Minutes</v>
      </c>
    </row>
    <row r="169" spans="1:6" x14ac:dyDescent="0.3">
      <c r="A169" t="s">
        <v>582</v>
      </c>
      <c r="B169" s="4" t="s">
        <v>185</v>
      </c>
      <c r="C169" s="2">
        <f t="shared" ca="1" si="4"/>
        <v>44929</v>
      </c>
      <c r="D169" s="4" t="str">
        <f t="shared" ca="1" si="5"/>
        <v>03:29 PM</v>
      </c>
      <c r="E169" s="4" t="str" cm="1">
        <f t="array" ref="E169">_xlfn.IFS(Membership_Data!D169&lt;=40,"Intense",Membership_Data!D169&gt;40,"Normal")</f>
        <v>Intense</v>
      </c>
      <c r="F169" t="str" cm="1">
        <f t="array" ref="F169">_xlfn.IFS(Membership_Data!D169&lt;=35,"90 Minutes",Membership_Data!D169&gt;=36,"50 Minutes")</f>
        <v>90 Minutes</v>
      </c>
    </row>
    <row r="170" spans="1:6" x14ac:dyDescent="0.3">
      <c r="A170" t="s">
        <v>583</v>
      </c>
      <c r="B170" s="4" t="s">
        <v>186</v>
      </c>
      <c r="C170" s="2">
        <f t="shared" ca="1" si="4"/>
        <v>45549</v>
      </c>
      <c r="D170" s="4" t="str">
        <f t="shared" ca="1" si="5"/>
        <v>09:25 AM</v>
      </c>
      <c r="E170" s="4" t="str" cm="1">
        <f t="array" ref="E170">_xlfn.IFS(Membership_Data!D170&lt;=40,"Intense",Membership_Data!D170&gt;40,"Normal")</f>
        <v>Normal</v>
      </c>
      <c r="F170" t="str" cm="1">
        <f t="array" ref="F170">_xlfn.IFS(Membership_Data!D170&lt;=35,"90 Minutes",Membership_Data!D170&gt;=36,"50 Minutes")</f>
        <v>50 Minutes</v>
      </c>
    </row>
    <row r="171" spans="1:6" x14ac:dyDescent="0.3">
      <c r="A171" t="s">
        <v>584</v>
      </c>
      <c r="B171" s="4" t="s">
        <v>187</v>
      </c>
      <c r="C171" s="2">
        <f t="shared" ca="1" si="4"/>
        <v>45443</v>
      </c>
      <c r="D171" s="4" t="str">
        <f t="shared" ca="1" si="5"/>
        <v>11:39 AM</v>
      </c>
      <c r="E171" s="4" t="str" cm="1">
        <f t="array" ref="E171">_xlfn.IFS(Membership_Data!D171&lt;=40,"Intense",Membership_Data!D171&gt;40,"Normal")</f>
        <v>Intense</v>
      </c>
      <c r="F171" t="str" cm="1">
        <f t="array" ref="F171">_xlfn.IFS(Membership_Data!D171&lt;=35,"90 Minutes",Membership_Data!D171&gt;=36,"50 Minutes")</f>
        <v>90 Minutes</v>
      </c>
    </row>
    <row r="172" spans="1:6" x14ac:dyDescent="0.3">
      <c r="A172" t="s">
        <v>585</v>
      </c>
      <c r="B172" s="4" t="s">
        <v>188</v>
      </c>
      <c r="C172" s="2">
        <f t="shared" ca="1" si="4"/>
        <v>45191</v>
      </c>
      <c r="D172" s="4" t="str">
        <f t="shared" ca="1" si="5"/>
        <v>08:15 AM</v>
      </c>
      <c r="E172" s="4" t="str" cm="1">
        <f t="array" ref="E172">_xlfn.IFS(Membership_Data!D172&lt;=40,"Intense",Membership_Data!D172&gt;40,"Normal")</f>
        <v>Intense</v>
      </c>
      <c r="F172" t="str" cm="1">
        <f t="array" ref="F172">_xlfn.IFS(Membership_Data!D172&lt;=35,"90 Minutes",Membership_Data!D172&gt;=36,"50 Minutes")</f>
        <v>90 Minutes</v>
      </c>
    </row>
    <row r="173" spans="1:6" x14ac:dyDescent="0.3">
      <c r="A173" t="s">
        <v>586</v>
      </c>
      <c r="B173" s="4" t="s">
        <v>189</v>
      </c>
      <c r="C173" s="2">
        <f t="shared" ca="1" si="4"/>
        <v>46016</v>
      </c>
      <c r="D173" s="4" t="str">
        <f t="shared" ca="1" si="5"/>
        <v>11:41 AM</v>
      </c>
      <c r="E173" s="4" t="str" cm="1">
        <f t="array" ref="E173">_xlfn.IFS(Membership_Data!D173&lt;=40,"Intense",Membership_Data!D173&gt;40,"Normal")</f>
        <v>Intense</v>
      </c>
      <c r="F173" t="str" cm="1">
        <f t="array" ref="F173">_xlfn.IFS(Membership_Data!D173&lt;=35,"90 Minutes",Membership_Data!D173&gt;=36,"50 Minutes")</f>
        <v>90 Minutes</v>
      </c>
    </row>
    <row r="174" spans="1:6" x14ac:dyDescent="0.3">
      <c r="A174" t="s">
        <v>587</v>
      </c>
      <c r="B174" s="4" t="s">
        <v>190</v>
      </c>
      <c r="C174" s="2">
        <f t="shared" ca="1" si="4"/>
        <v>45809</v>
      </c>
      <c r="D174" s="4" t="str">
        <f t="shared" ca="1" si="5"/>
        <v>07:11 AM</v>
      </c>
      <c r="E174" s="4" t="str" cm="1">
        <f t="array" ref="E174">_xlfn.IFS(Membership_Data!D174&lt;=40,"Intense",Membership_Data!D174&gt;40,"Normal")</f>
        <v>Normal</v>
      </c>
      <c r="F174" t="str" cm="1">
        <f t="array" ref="F174">_xlfn.IFS(Membership_Data!D174&lt;=35,"90 Minutes",Membership_Data!D174&gt;=36,"50 Minutes")</f>
        <v>50 Minutes</v>
      </c>
    </row>
    <row r="175" spans="1:6" x14ac:dyDescent="0.3">
      <c r="A175" t="s">
        <v>588</v>
      </c>
      <c r="B175" s="4" t="s">
        <v>191</v>
      </c>
      <c r="C175" s="2">
        <f t="shared" ca="1" si="4"/>
        <v>45513</v>
      </c>
      <c r="D175" s="4" t="str">
        <f t="shared" ca="1" si="5"/>
        <v>02:11 PM</v>
      </c>
      <c r="E175" s="4" t="str" cm="1">
        <f t="array" ref="E175">_xlfn.IFS(Membership_Data!D175&lt;=40,"Intense",Membership_Data!D175&gt;40,"Normal")</f>
        <v>Normal</v>
      </c>
      <c r="F175" t="str" cm="1">
        <f t="array" ref="F175">_xlfn.IFS(Membership_Data!D175&lt;=35,"90 Minutes",Membership_Data!D175&gt;=36,"50 Minutes")</f>
        <v>50 Minutes</v>
      </c>
    </row>
    <row r="176" spans="1:6" x14ac:dyDescent="0.3">
      <c r="A176" t="s">
        <v>589</v>
      </c>
      <c r="B176" s="4" t="s">
        <v>192</v>
      </c>
      <c r="C176" s="2">
        <f t="shared" ca="1" si="4"/>
        <v>45079</v>
      </c>
      <c r="D176" s="4" t="str">
        <f t="shared" ca="1" si="5"/>
        <v>04:00 PM</v>
      </c>
      <c r="E176" s="4" t="str" cm="1">
        <f t="array" ref="E176">_xlfn.IFS(Membership_Data!D176&lt;=40,"Intense",Membership_Data!D176&gt;40,"Normal")</f>
        <v>Normal</v>
      </c>
      <c r="F176" t="str" cm="1">
        <f t="array" ref="F176">_xlfn.IFS(Membership_Data!D176&lt;=35,"90 Minutes",Membership_Data!D176&gt;=36,"50 Minutes")</f>
        <v>50 Minutes</v>
      </c>
    </row>
    <row r="177" spans="1:6" x14ac:dyDescent="0.3">
      <c r="A177" t="s">
        <v>590</v>
      </c>
      <c r="B177" s="4" t="s">
        <v>193</v>
      </c>
      <c r="C177" s="2">
        <f t="shared" ca="1" si="4"/>
        <v>45191</v>
      </c>
      <c r="D177" s="4" t="str">
        <f t="shared" ca="1" si="5"/>
        <v>08:36 PM</v>
      </c>
      <c r="E177" s="4" t="str" cm="1">
        <f t="array" ref="E177">_xlfn.IFS(Membership_Data!D177&lt;=40,"Intense",Membership_Data!D177&gt;40,"Normal")</f>
        <v>Normal</v>
      </c>
      <c r="F177" t="str" cm="1">
        <f t="array" ref="F177">_xlfn.IFS(Membership_Data!D177&lt;=35,"90 Minutes",Membership_Data!D177&gt;=36,"50 Minutes")</f>
        <v>50 Minutes</v>
      </c>
    </row>
    <row r="178" spans="1:6" x14ac:dyDescent="0.3">
      <c r="A178" t="s">
        <v>591</v>
      </c>
      <c r="B178" s="4" t="s">
        <v>194</v>
      </c>
      <c r="C178" s="2">
        <f t="shared" ca="1" si="4"/>
        <v>44955</v>
      </c>
      <c r="D178" s="4" t="str">
        <f t="shared" ca="1" si="5"/>
        <v>06:50 AM</v>
      </c>
      <c r="E178" s="4" t="str" cm="1">
        <f t="array" ref="E178">_xlfn.IFS(Membership_Data!D178&lt;=40,"Intense",Membership_Data!D178&gt;40,"Normal")</f>
        <v>Intense</v>
      </c>
      <c r="F178" t="str" cm="1">
        <f t="array" ref="F178">_xlfn.IFS(Membership_Data!D178&lt;=35,"90 Minutes",Membership_Data!D178&gt;=36,"50 Minutes")</f>
        <v>50 Minutes</v>
      </c>
    </row>
    <row r="179" spans="1:6" x14ac:dyDescent="0.3">
      <c r="A179" t="s">
        <v>592</v>
      </c>
      <c r="B179" s="4" t="s">
        <v>195</v>
      </c>
      <c r="C179" s="2">
        <f t="shared" ca="1" si="4"/>
        <v>45839</v>
      </c>
      <c r="D179" s="4" t="str">
        <f t="shared" ca="1" si="5"/>
        <v>07:25 AM</v>
      </c>
      <c r="E179" s="4" t="str" cm="1">
        <f t="array" ref="E179">_xlfn.IFS(Membership_Data!D179&lt;=40,"Intense",Membership_Data!D179&gt;40,"Normal")</f>
        <v>Intense</v>
      </c>
      <c r="F179" t="str" cm="1">
        <f t="array" ref="F179">_xlfn.IFS(Membership_Data!D179&lt;=35,"90 Minutes",Membership_Data!D179&gt;=36,"50 Minutes")</f>
        <v>90 Minutes</v>
      </c>
    </row>
    <row r="180" spans="1:6" x14ac:dyDescent="0.3">
      <c r="A180" t="s">
        <v>593</v>
      </c>
      <c r="B180" s="4" t="s">
        <v>196</v>
      </c>
      <c r="C180" s="2">
        <f t="shared" ca="1" si="4"/>
        <v>45776</v>
      </c>
      <c r="D180" s="4" t="str">
        <f t="shared" ca="1" si="5"/>
        <v>07:19 PM</v>
      </c>
      <c r="E180" s="4" t="str" cm="1">
        <f t="array" ref="E180">_xlfn.IFS(Membership_Data!D180&lt;=40,"Intense",Membership_Data!D180&gt;40,"Normal")</f>
        <v>Normal</v>
      </c>
      <c r="F180" t="str" cm="1">
        <f t="array" ref="F180">_xlfn.IFS(Membership_Data!D180&lt;=35,"90 Minutes",Membership_Data!D180&gt;=36,"50 Minutes")</f>
        <v>50 Minutes</v>
      </c>
    </row>
    <row r="181" spans="1:6" x14ac:dyDescent="0.3">
      <c r="A181" t="s">
        <v>594</v>
      </c>
      <c r="B181" s="4" t="s">
        <v>197</v>
      </c>
      <c r="C181" s="2">
        <f t="shared" ca="1" si="4"/>
        <v>45107</v>
      </c>
      <c r="D181" s="4" t="str">
        <f t="shared" ca="1" si="5"/>
        <v>08:23 PM</v>
      </c>
      <c r="E181" s="4" t="str" cm="1">
        <f t="array" ref="E181">_xlfn.IFS(Membership_Data!D181&lt;=40,"Intense",Membership_Data!D181&gt;40,"Normal")</f>
        <v>Intense</v>
      </c>
      <c r="F181" t="str" cm="1">
        <f t="array" ref="F181">_xlfn.IFS(Membership_Data!D181&lt;=35,"90 Minutes",Membership_Data!D181&gt;=36,"50 Minutes")</f>
        <v>50 Minutes</v>
      </c>
    </row>
    <row r="182" spans="1:6" x14ac:dyDescent="0.3">
      <c r="A182" t="s">
        <v>595</v>
      </c>
      <c r="B182" s="4" t="s">
        <v>198</v>
      </c>
      <c r="C182" s="2">
        <f t="shared" ca="1" si="4"/>
        <v>45824</v>
      </c>
      <c r="D182" s="4" t="str">
        <f t="shared" ca="1" si="5"/>
        <v>07:54 AM</v>
      </c>
      <c r="E182" s="4" t="str" cm="1">
        <f t="array" ref="E182">_xlfn.IFS(Membership_Data!D182&lt;=40,"Intense",Membership_Data!D182&gt;40,"Normal")</f>
        <v>Normal</v>
      </c>
      <c r="F182" t="str" cm="1">
        <f t="array" ref="F182">_xlfn.IFS(Membership_Data!D182&lt;=35,"90 Minutes",Membership_Data!D182&gt;=36,"50 Minutes")</f>
        <v>50 Minutes</v>
      </c>
    </row>
    <row r="183" spans="1:6" x14ac:dyDescent="0.3">
      <c r="A183" t="s">
        <v>596</v>
      </c>
      <c r="B183" s="4" t="s">
        <v>199</v>
      </c>
      <c r="C183" s="2">
        <f t="shared" ca="1" si="4"/>
        <v>45856</v>
      </c>
      <c r="D183" s="4" t="str">
        <f t="shared" ca="1" si="5"/>
        <v>05:56 PM</v>
      </c>
      <c r="E183" s="4" t="str" cm="1">
        <f t="array" ref="E183">_xlfn.IFS(Membership_Data!D183&lt;=40,"Intense",Membership_Data!D183&gt;40,"Normal")</f>
        <v>Normal</v>
      </c>
      <c r="F183" t="str" cm="1">
        <f t="array" ref="F183">_xlfn.IFS(Membership_Data!D183&lt;=35,"90 Minutes",Membership_Data!D183&gt;=36,"50 Minutes")</f>
        <v>50 Minutes</v>
      </c>
    </row>
    <row r="184" spans="1:6" x14ac:dyDescent="0.3">
      <c r="A184" t="s">
        <v>597</v>
      </c>
      <c r="B184" s="4" t="s">
        <v>200</v>
      </c>
      <c r="C184" s="2">
        <f t="shared" ca="1" si="4"/>
        <v>45853</v>
      </c>
      <c r="D184" s="4" t="str">
        <f t="shared" ca="1" si="5"/>
        <v>07:43 AM</v>
      </c>
      <c r="E184" s="4" t="str" cm="1">
        <f t="array" ref="E184">_xlfn.IFS(Membership_Data!D184&lt;=40,"Intense",Membership_Data!D184&gt;40,"Normal")</f>
        <v>Normal</v>
      </c>
      <c r="F184" t="str" cm="1">
        <f t="array" ref="F184">_xlfn.IFS(Membership_Data!D184&lt;=35,"90 Minutes",Membership_Data!D184&gt;=36,"50 Minutes")</f>
        <v>50 Minutes</v>
      </c>
    </row>
    <row r="185" spans="1:6" x14ac:dyDescent="0.3">
      <c r="A185" t="s">
        <v>598</v>
      </c>
      <c r="B185" s="4" t="s">
        <v>201</v>
      </c>
      <c r="C185" s="2">
        <f t="shared" ca="1" si="4"/>
        <v>45404</v>
      </c>
      <c r="D185" s="4" t="str">
        <f t="shared" ca="1" si="5"/>
        <v>06:41 PM</v>
      </c>
      <c r="E185" s="4" t="str" cm="1">
        <f t="array" ref="E185">_xlfn.IFS(Membership_Data!D185&lt;=40,"Intense",Membership_Data!D185&gt;40,"Normal")</f>
        <v>Normal</v>
      </c>
      <c r="F185" t="str" cm="1">
        <f t="array" ref="F185">_xlfn.IFS(Membership_Data!D185&lt;=35,"90 Minutes",Membership_Data!D185&gt;=36,"50 Minutes")</f>
        <v>50 Minutes</v>
      </c>
    </row>
    <row r="186" spans="1:6" x14ac:dyDescent="0.3">
      <c r="A186" t="s">
        <v>599</v>
      </c>
      <c r="B186" s="4" t="s">
        <v>202</v>
      </c>
      <c r="C186" s="2">
        <f t="shared" ca="1" si="4"/>
        <v>45381</v>
      </c>
      <c r="D186" s="4" t="str">
        <f t="shared" ca="1" si="5"/>
        <v>11:32 AM</v>
      </c>
      <c r="E186" s="4" t="str" cm="1">
        <f t="array" ref="E186">_xlfn.IFS(Membership_Data!D186&lt;=40,"Intense",Membership_Data!D186&gt;40,"Normal")</f>
        <v>Normal</v>
      </c>
      <c r="F186" t="str" cm="1">
        <f t="array" ref="F186">_xlfn.IFS(Membership_Data!D186&lt;=35,"90 Minutes",Membership_Data!D186&gt;=36,"50 Minutes")</f>
        <v>50 Minutes</v>
      </c>
    </row>
    <row r="187" spans="1:6" x14ac:dyDescent="0.3">
      <c r="A187" t="s">
        <v>600</v>
      </c>
      <c r="B187" s="4" t="s">
        <v>203</v>
      </c>
      <c r="C187" s="2">
        <f t="shared" ca="1" si="4"/>
        <v>45292</v>
      </c>
      <c r="D187" s="4" t="str">
        <f t="shared" ca="1" si="5"/>
        <v>08:43 PM</v>
      </c>
      <c r="E187" s="4" t="str" cm="1">
        <f t="array" ref="E187">_xlfn.IFS(Membership_Data!D187&lt;=40,"Intense",Membership_Data!D187&gt;40,"Normal")</f>
        <v>Normal</v>
      </c>
      <c r="F187" t="str" cm="1">
        <f t="array" ref="F187">_xlfn.IFS(Membership_Data!D187&lt;=35,"90 Minutes",Membership_Data!D187&gt;=36,"50 Minutes")</f>
        <v>50 Minutes</v>
      </c>
    </row>
    <row r="188" spans="1:6" x14ac:dyDescent="0.3">
      <c r="A188" t="s">
        <v>601</v>
      </c>
      <c r="B188" s="4" t="s">
        <v>204</v>
      </c>
      <c r="C188" s="2">
        <f t="shared" ca="1" si="4"/>
        <v>45105</v>
      </c>
      <c r="D188" s="4" t="str">
        <f t="shared" ca="1" si="5"/>
        <v>03:49 PM</v>
      </c>
      <c r="E188" s="4" t="str" cm="1">
        <f t="array" ref="E188">_xlfn.IFS(Membership_Data!D188&lt;=40,"Intense",Membership_Data!D188&gt;40,"Normal")</f>
        <v>Intense</v>
      </c>
      <c r="F188" t="str" cm="1">
        <f t="array" ref="F188">_xlfn.IFS(Membership_Data!D188&lt;=35,"90 Minutes",Membership_Data!D188&gt;=36,"50 Minutes")</f>
        <v>90 Minutes</v>
      </c>
    </row>
    <row r="189" spans="1:6" x14ac:dyDescent="0.3">
      <c r="A189" t="s">
        <v>602</v>
      </c>
      <c r="B189" s="4" t="s">
        <v>205</v>
      </c>
      <c r="C189" s="2">
        <f t="shared" ca="1" si="4"/>
        <v>45798</v>
      </c>
      <c r="D189" s="4" t="str">
        <f t="shared" ca="1" si="5"/>
        <v>07:41 PM</v>
      </c>
      <c r="E189" s="4" t="str" cm="1">
        <f t="array" ref="E189">_xlfn.IFS(Membership_Data!D189&lt;=40,"Intense",Membership_Data!D189&gt;40,"Normal")</f>
        <v>Intense</v>
      </c>
      <c r="F189" t="str" cm="1">
        <f t="array" ref="F189">_xlfn.IFS(Membership_Data!D189&lt;=35,"90 Minutes",Membership_Data!D189&gt;=36,"50 Minutes")</f>
        <v>90 Minutes</v>
      </c>
    </row>
    <row r="190" spans="1:6" x14ac:dyDescent="0.3">
      <c r="A190" t="s">
        <v>603</v>
      </c>
      <c r="B190" s="4" t="s">
        <v>206</v>
      </c>
      <c r="C190" s="2">
        <f t="shared" ca="1" si="4"/>
        <v>45195</v>
      </c>
      <c r="D190" s="4" t="str">
        <f t="shared" ca="1" si="5"/>
        <v>09:36 PM</v>
      </c>
      <c r="E190" s="4" t="str" cm="1">
        <f t="array" ref="E190">_xlfn.IFS(Membership_Data!D190&lt;=40,"Intense",Membership_Data!D190&gt;40,"Normal")</f>
        <v>Intense</v>
      </c>
      <c r="F190" t="str" cm="1">
        <f t="array" ref="F190">_xlfn.IFS(Membership_Data!D190&lt;=35,"90 Minutes",Membership_Data!D190&gt;=36,"50 Minutes")</f>
        <v>90 Minutes</v>
      </c>
    </row>
    <row r="191" spans="1:6" x14ac:dyDescent="0.3">
      <c r="A191" t="s">
        <v>604</v>
      </c>
      <c r="B191" s="4" t="s">
        <v>207</v>
      </c>
      <c r="C191" s="2">
        <f t="shared" ca="1" si="4"/>
        <v>45736</v>
      </c>
      <c r="D191" s="4" t="str">
        <f t="shared" ca="1" si="5"/>
        <v>07:35 PM</v>
      </c>
      <c r="E191" s="4" t="str" cm="1">
        <f t="array" ref="E191">_xlfn.IFS(Membership_Data!D191&lt;=40,"Intense",Membership_Data!D191&gt;40,"Normal")</f>
        <v>Intense</v>
      </c>
      <c r="F191" t="str" cm="1">
        <f t="array" ref="F191">_xlfn.IFS(Membership_Data!D191&lt;=35,"90 Minutes",Membership_Data!D191&gt;=36,"50 Minutes")</f>
        <v>90 Minutes</v>
      </c>
    </row>
    <row r="192" spans="1:6" x14ac:dyDescent="0.3">
      <c r="A192" t="s">
        <v>605</v>
      </c>
      <c r="B192" s="4" t="s">
        <v>208</v>
      </c>
      <c r="C192" s="2">
        <f t="shared" ca="1" si="4"/>
        <v>45855</v>
      </c>
      <c r="D192" s="4" t="str">
        <f t="shared" ca="1" si="5"/>
        <v>10:31 AM</v>
      </c>
      <c r="E192" s="4" t="str" cm="1">
        <f t="array" ref="E192">_xlfn.IFS(Membership_Data!D192&lt;=40,"Intense",Membership_Data!D192&gt;40,"Normal")</f>
        <v>Intense</v>
      </c>
      <c r="F192" t="str" cm="1">
        <f t="array" ref="F192">_xlfn.IFS(Membership_Data!D192&lt;=35,"90 Minutes",Membership_Data!D192&gt;=36,"50 Minutes")</f>
        <v>90 Minutes</v>
      </c>
    </row>
    <row r="193" spans="1:6" x14ac:dyDescent="0.3">
      <c r="A193" t="s">
        <v>606</v>
      </c>
      <c r="B193" s="4" t="s">
        <v>209</v>
      </c>
      <c r="C193" s="2">
        <f t="shared" ca="1" si="4"/>
        <v>45020</v>
      </c>
      <c r="D193" s="4" t="str">
        <f t="shared" ca="1" si="5"/>
        <v>11:09 AM</v>
      </c>
      <c r="E193" s="4" t="str" cm="1">
        <f t="array" ref="E193">_xlfn.IFS(Membership_Data!D193&lt;=40,"Intense",Membership_Data!D193&gt;40,"Normal")</f>
        <v>Intense</v>
      </c>
      <c r="F193" t="str" cm="1">
        <f t="array" ref="F193">_xlfn.IFS(Membership_Data!D193&lt;=35,"90 Minutes",Membership_Data!D193&gt;=36,"50 Minutes")</f>
        <v>90 Minutes</v>
      </c>
    </row>
    <row r="194" spans="1:6" x14ac:dyDescent="0.3">
      <c r="A194" t="s">
        <v>607</v>
      </c>
      <c r="B194" s="4" t="s">
        <v>210</v>
      </c>
      <c r="C194" s="2">
        <f t="shared" ca="1" si="4"/>
        <v>45683</v>
      </c>
      <c r="D194" s="4" t="str">
        <f t="shared" ca="1" si="5"/>
        <v>01:01 PM</v>
      </c>
      <c r="E194" s="4" t="str" cm="1">
        <f t="array" ref="E194">_xlfn.IFS(Membership_Data!D194&lt;=40,"Intense",Membership_Data!D194&gt;40,"Normal")</f>
        <v>Normal</v>
      </c>
      <c r="F194" t="str" cm="1">
        <f t="array" ref="F194">_xlfn.IFS(Membership_Data!D194&lt;=35,"90 Minutes",Membership_Data!D194&gt;=36,"50 Minutes")</f>
        <v>50 Minutes</v>
      </c>
    </row>
    <row r="195" spans="1:6" x14ac:dyDescent="0.3">
      <c r="A195" t="s">
        <v>608</v>
      </c>
      <c r="B195" s="4" t="s">
        <v>211</v>
      </c>
      <c r="C195" s="2">
        <f t="shared" ref="C195:C201" ca="1" si="6">RANDBETWEEN(DATE(2023,1,1), DATE(2025,12,31))</f>
        <v>45626</v>
      </c>
      <c r="D195" s="4" t="str">
        <f t="shared" ref="D195:D201" ca="1" si="7">TEXT(RANDBETWEEN(TIME(6,0,0)*86400, TIME(22,0,0)*86400)/86400,"hh:mm AM/PM")</f>
        <v>08:39 AM</v>
      </c>
      <c r="E195" s="4" t="str" cm="1">
        <f t="array" ref="E195">_xlfn.IFS(Membership_Data!D195&lt;=40,"Intense",Membership_Data!D195&gt;40,"Normal")</f>
        <v>Normal</v>
      </c>
      <c r="F195" t="str" cm="1">
        <f t="array" ref="F195">_xlfn.IFS(Membership_Data!D195&lt;=35,"90 Minutes",Membership_Data!D195&gt;=36,"50 Minutes")</f>
        <v>50 Minutes</v>
      </c>
    </row>
    <row r="196" spans="1:6" x14ac:dyDescent="0.3">
      <c r="A196" t="s">
        <v>609</v>
      </c>
      <c r="B196" s="4" t="s">
        <v>212</v>
      </c>
      <c r="C196" s="2">
        <f t="shared" ca="1" si="6"/>
        <v>45563</v>
      </c>
      <c r="D196" s="4" t="str">
        <f t="shared" ca="1" si="7"/>
        <v>08:48 AM</v>
      </c>
      <c r="E196" s="4" t="str" cm="1">
        <f t="array" ref="E196">_xlfn.IFS(Membership_Data!D196&lt;=40,"Intense",Membership_Data!D196&gt;40,"Normal")</f>
        <v>Normal</v>
      </c>
      <c r="F196" t="str" cm="1">
        <f t="array" ref="F196">_xlfn.IFS(Membership_Data!D196&lt;=35,"90 Minutes",Membership_Data!D196&gt;=36,"50 Minutes")</f>
        <v>50 Minutes</v>
      </c>
    </row>
    <row r="197" spans="1:6" x14ac:dyDescent="0.3">
      <c r="A197" t="s">
        <v>610</v>
      </c>
      <c r="B197" s="4" t="s">
        <v>213</v>
      </c>
      <c r="C197" s="2">
        <f t="shared" ca="1" si="6"/>
        <v>45803</v>
      </c>
      <c r="D197" s="4" t="str">
        <f t="shared" ca="1" si="7"/>
        <v>12:18 PM</v>
      </c>
      <c r="E197" s="4" t="str" cm="1">
        <f t="array" ref="E197">_xlfn.IFS(Membership_Data!D197&lt;=40,"Intense",Membership_Data!D197&gt;40,"Normal")</f>
        <v>Normal</v>
      </c>
      <c r="F197" t="str" cm="1">
        <f t="array" ref="F197">_xlfn.IFS(Membership_Data!D197&lt;=35,"90 Minutes",Membership_Data!D197&gt;=36,"50 Minutes")</f>
        <v>50 Minutes</v>
      </c>
    </row>
    <row r="198" spans="1:6" x14ac:dyDescent="0.3">
      <c r="A198" t="s">
        <v>611</v>
      </c>
      <c r="B198" s="4" t="s">
        <v>214</v>
      </c>
      <c r="C198" s="2">
        <f t="shared" ca="1" si="6"/>
        <v>45935</v>
      </c>
      <c r="D198" s="4" t="str">
        <f t="shared" ca="1" si="7"/>
        <v>05:35 PM</v>
      </c>
      <c r="E198" s="4" t="str" cm="1">
        <f t="array" ref="E198">_xlfn.IFS(Membership_Data!D198&lt;=40,"Intense",Membership_Data!D198&gt;40,"Normal")</f>
        <v>Intense</v>
      </c>
      <c r="F198" t="str" cm="1">
        <f t="array" ref="F198">_xlfn.IFS(Membership_Data!D198&lt;=35,"90 Minutes",Membership_Data!D198&gt;=36,"50 Minutes")</f>
        <v>90 Minutes</v>
      </c>
    </row>
    <row r="199" spans="1:6" x14ac:dyDescent="0.3">
      <c r="A199" t="s">
        <v>612</v>
      </c>
      <c r="B199" s="4" t="s">
        <v>215</v>
      </c>
      <c r="C199" s="2">
        <f t="shared" ca="1" si="6"/>
        <v>45887</v>
      </c>
      <c r="D199" s="4" t="str">
        <f t="shared" ca="1" si="7"/>
        <v>04:08 PM</v>
      </c>
      <c r="E199" s="4" t="str" cm="1">
        <f t="array" ref="E199">_xlfn.IFS(Membership_Data!D199&lt;=40,"Intense",Membership_Data!D199&gt;40,"Normal")</f>
        <v>Normal</v>
      </c>
      <c r="F199" t="str" cm="1">
        <f t="array" ref="F199">_xlfn.IFS(Membership_Data!D199&lt;=35,"90 Minutes",Membership_Data!D199&gt;=36,"50 Minutes")</f>
        <v>50 Minutes</v>
      </c>
    </row>
    <row r="200" spans="1:6" x14ac:dyDescent="0.3">
      <c r="A200" t="s">
        <v>613</v>
      </c>
      <c r="B200" s="4" t="s">
        <v>216</v>
      </c>
      <c r="C200" s="2">
        <f t="shared" ca="1" si="6"/>
        <v>45941</v>
      </c>
      <c r="D200" s="4" t="str">
        <f t="shared" ca="1" si="7"/>
        <v>08:13 AM</v>
      </c>
      <c r="E200" s="4" t="str" cm="1">
        <f t="array" ref="E200">_xlfn.IFS(Membership_Data!D200&lt;=40,"Intense",Membership_Data!D200&gt;40,"Normal")</f>
        <v>Intense</v>
      </c>
      <c r="F200" t="str" cm="1">
        <f t="array" ref="F200">_xlfn.IFS(Membership_Data!D200&lt;=35,"90 Minutes",Membership_Data!D200&gt;=36,"50 Minutes")</f>
        <v>50 Minutes</v>
      </c>
    </row>
    <row r="201" spans="1:6" x14ac:dyDescent="0.3">
      <c r="A201" t="s">
        <v>614</v>
      </c>
      <c r="B201" s="4" t="s">
        <v>217</v>
      </c>
      <c r="C201" s="2">
        <f t="shared" ca="1" si="6"/>
        <v>45028</v>
      </c>
      <c r="D201" s="4" t="str">
        <f t="shared" ca="1" si="7"/>
        <v>09:00 AM</v>
      </c>
      <c r="E201" s="4" t="str" cm="1">
        <f t="array" ref="E201">_xlfn.IFS(Membership_Data!D201&lt;=40,"Intense",Membership_Data!D201&gt;40,"Normal")</f>
        <v>Normal</v>
      </c>
      <c r="F201" t="str" cm="1">
        <f t="array" ref="F201">_xlfn.IFS(Membership_Data!D201&lt;=35,"90 Minutes",Membership_Data!D201&gt;=36,"50 Minutes")</f>
        <v>50 Minutes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7B77-FBFC-482A-B105-60250EF9B0D3}">
  <dimension ref="A1:E201"/>
  <sheetViews>
    <sheetView tabSelected="1" workbookViewId="0">
      <selection activeCell="F122" sqref="F122"/>
    </sheetView>
  </sheetViews>
  <sheetFormatPr defaultRowHeight="14.4" x14ac:dyDescent="0.3"/>
  <cols>
    <col min="1" max="1" width="22.109375" bestFit="1" customWidth="1"/>
    <col min="2" max="2" width="13" customWidth="1"/>
    <col min="3" max="3" width="13.6640625" customWidth="1"/>
    <col min="5" max="5" width="17.33203125" customWidth="1"/>
  </cols>
  <sheetData>
    <row r="1" spans="1:5" x14ac:dyDescent="0.3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 x14ac:dyDescent="0.3">
      <c r="A2" t="s">
        <v>615</v>
      </c>
      <c r="B2" t="s">
        <v>18</v>
      </c>
      <c r="C2" t="str">
        <f ca="1">TEXT(RANDBETWEEN(DATE(2024,1,1), DATE(2025,12,31)),"dd-mm-yyyy")</f>
        <v>20-07-2024</v>
      </c>
      <c r="D2" t="str" cm="1">
        <f t="array" ref="D2">_xlfn.IFS(Membership_Data!F2="Basic","5000",Membership_Data!F2="Standard","7500",Membership_Data!F2="Premium","10000")</f>
        <v>5000</v>
      </c>
      <c r="E2" t="str" cm="1">
        <f t="array" ref="E2">_xlfn.IFS(D2="5000","Cash",D2="7500","Debit Card",D2="10000","Credit Card")</f>
        <v>Cash</v>
      </c>
    </row>
    <row r="3" spans="1:5" x14ac:dyDescent="0.3">
      <c r="A3" t="s">
        <v>616</v>
      </c>
      <c r="B3" t="s">
        <v>19</v>
      </c>
      <c r="C3" t="str">
        <f t="shared" ref="C3:C66" ca="1" si="0">TEXT(RANDBETWEEN(DATE(2024,1,1), DATE(2025,12,31)),"dd-mm-yyyy")</f>
        <v>04-06-2024</v>
      </c>
      <c r="D3" t="str" cm="1">
        <f t="array" ref="D3">_xlfn.IFS(Membership_Data!F3="Basic","5000",Membership_Data!F3="Standard","7500",Membership_Data!F3="Premium","10000")</f>
        <v>10000</v>
      </c>
      <c r="E3" t="str" cm="1">
        <f t="array" ref="E3">_xlfn.IFS(D3="5000","Cash",D3="7500","Debit Card",D3="10000","Credit Card")</f>
        <v>Credit Card</v>
      </c>
    </row>
    <row r="4" spans="1:5" x14ac:dyDescent="0.3">
      <c r="A4" t="s">
        <v>617</v>
      </c>
      <c r="B4" t="s">
        <v>20</v>
      </c>
      <c r="C4" t="str">
        <f t="shared" ca="1" si="0"/>
        <v>04-08-2025</v>
      </c>
      <c r="D4" t="str" cm="1">
        <f t="array" ref="D4">_xlfn.IFS(Membership_Data!F4="Basic","5000",Membership_Data!F4="Standard","7500",Membership_Data!F4="Premium","10000")</f>
        <v>7500</v>
      </c>
      <c r="E4" t="str" cm="1">
        <f t="array" ref="E4">_xlfn.IFS(D4="5000","Cash",D4="7500","Debit Card",D4="10000","Credit Card")</f>
        <v>Debit Card</v>
      </c>
    </row>
    <row r="5" spans="1:5" x14ac:dyDescent="0.3">
      <c r="A5" t="s">
        <v>618</v>
      </c>
      <c r="B5" t="s">
        <v>21</v>
      </c>
      <c r="C5" t="str">
        <f t="shared" ca="1" si="0"/>
        <v>05-11-2024</v>
      </c>
      <c r="D5" t="str" cm="1">
        <f t="array" ref="D5">_xlfn.IFS(Membership_Data!F5="Basic","5000",Membership_Data!F5="Standard","7500",Membership_Data!F5="Premium","10000")</f>
        <v>5000</v>
      </c>
      <c r="E5" t="str" cm="1">
        <f t="array" ref="E5">_xlfn.IFS(D5="5000","Cash",D5="7500","Debit Card",D5="10000","Credit Card")</f>
        <v>Cash</v>
      </c>
    </row>
    <row r="6" spans="1:5" x14ac:dyDescent="0.3">
      <c r="A6" t="s">
        <v>619</v>
      </c>
      <c r="B6" t="s">
        <v>22</v>
      </c>
      <c r="C6" t="str">
        <f t="shared" ca="1" si="0"/>
        <v>30-03-2024</v>
      </c>
      <c r="D6" t="str" cm="1">
        <f t="array" ref="D6">_xlfn.IFS(Membership_Data!F6="Basic","5000",Membership_Data!F6="Standard","7500",Membership_Data!F6="Premium","10000")</f>
        <v>10000</v>
      </c>
      <c r="E6" t="str" cm="1">
        <f t="array" ref="E6">_xlfn.IFS(D6="5000","Cash",D6="7500","Debit Card",D6="10000","Credit Card")</f>
        <v>Credit Card</v>
      </c>
    </row>
    <row r="7" spans="1:5" x14ac:dyDescent="0.3">
      <c r="A7" t="s">
        <v>620</v>
      </c>
      <c r="B7" t="s">
        <v>23</v>
      </c>
      <c r="C7" t="str">
        <f t="shared" ca="1" si="0"/>
        <v>15-05-2024</v>
      </c>
      <c r="D7" t="str" cm="1">
        <f t="array" ref="D7">_xlfn.IFS(Membership_Data!F7="Basic","5000",Membership_Data!F7="Standard","7500",Membership_Data!F7="Premium","10000")</f>
        <v>7500</v>
      </c>
      <c r="E7" t="str" cm="1">
        <f t="array" ref="E7">_xlfn.IFS(D7="5000","Cash",D7="7500","Debit Card",D7="10000","Credit Card")</f>
        <v>Debit Card</v>
      </c>
    </row>
    <row r="8" spans="1:5" x14ac:dyDescent="0.3">
      <c r="A8" t="s">
        <v>621</v>
      </c>
      <c r="B8" t="s">
        <v>24</v>
      </c>
      <c r="C8" t="str">
        <f t="shared" ca="1" si="0"/>
        <v>04-07-2024</v>
      </c>
      <c r="D8" t="str" cm="1">
        <f t="array" ref="D8">_xlfn.IFS(Membership_Data!F8="Basic","5000",Membership_Data!F8="Standard","7500",Membership_Data!F8="Premium","10000")</f>
        <v>5000</v>
      </c>
      <c r="E8" t="str" cm="1">
        <f t="array" ref="E8">_xlfn.IFS(D8="5000","Cash",D8="7500","Debit Card",D8="10000","Credit Card")</f>
        <v>Cash</v>
      </c>
    </row>
    <row r="9" spans="1:5" x14ac:dyDescent="0.3">
      <c r="A9" t="s">
        <v>622</v>
      </c>
      <c r="B9" t="s">
        <v>25</v>
      </c>
      <c r="C9" t="str">
        <f t="shared" ca="1" si="0"/>
        <v>03-10-2024</v>
      </c>
      <c r="D9" t="str" cm="1">
        <f t="array" ref="D9">_xlfn.IFS(Membership_Data!F9="Basic","5000",Membership_Data!F9="Standard","7500",Membership_Data!F9="Premium","10000")</f>
        <v>10000</v>
      </c>
      <c r="E9" t="str" cm="1">
        <f t="array" ref="E9">_xlfn.IFS(D9="5000","Cash",D9="7500","Debit Card",D9="10000","Credit Card")</f>
        <v>Credit Card</v>
      </c>
    </row>
    <row r="10" spans="1:5" x14ac:dyDescent="0.3">
      <c r="A10" t="s">
        <v>623</v>
      </c>
      <c r="B10" t="s">
        <v>26</v>
      </c>
      <c r="C10" t="str">
        <f t="shared" ca="1" si="0"/>
        <v>05-05-2024</v>
      </c>
      <c r="D10" t="str" cm="1">
        <f t="array" ref="D10">_xlfn.IFS(Membership_Data!F10="Basic","5000",Membership_Data!F10="Standard","7500",Membership_Data!F10="Premium","10000")</f>
        <v>7500</v>
      </c>
      <c r="E10" t="str" cm="1">
        <f t="array" ref="E10">_xlfn.IFS(D10="5000","Cash",D10="7500","Debit Card",D10="10000","Credit Card")</f>
        <v>Debit Card</v>
      </c>
    </row>
    <row r="11" spans="1:5" x14ac:dyDescent="0.3">
      <c r="A11" t="s">
        <v>624</v>
      </c>
      <c r="B11" t="s">
        <v>27</v>
      </c>
      <c r="C11" t="str">
        <f t="shared" ca="1" si="0"/>
        <v>19-01-2024</v>
      </c>
      <c r="D11" t="str" cm="1">
        <f t="array" ref="D11">_xlfn.IFS(Membership_Data!F11="Basic","5000",Membership_Data!F11="Standard","7500",Membership_Data!F11="Premium","10000")</f>
        <v>5000</v>
      </c>
      <c r="E11" t="str" cm="1">
        <f t="array" ref="E11">_xlfn.IFS(D11="5000","Cash",D11="7500","Debit Card",D11="10000","Credit Card")</f>
        <v>Cash</v>
      </c>
    </row>
    <row r="12" spans="1:5" x14ac:dyDescent="0.3">
      <c r="A12" t="s">
        <v>625</v>
      </c>
      <c r="B12" t="s">
        <v>28</v>
      </c>
      <c r="C12" t="str">
        <f t="shared" ca="1" si="0"/>
        <v>31-01-2025</v>
      </c>
      <c r="D12" t="str" cm="1">
        <f t="array" ref="D12">_xlfn.IFS(Membership_Data!F12="Basic","5000",Membership_Data!F12="Standard","7500",Membership_Data!F12="Premium","10000")</f>
        <v>10000</v>
      </c>
      <c r="E12" t="str" cm="1">
        <f t="array" ref="E12">_xlfn.IFS(D12="5000","Cash",D12="7500","Debit Card",D12="10000","Credit Card")</f>
        <v>Credit Card</v>
      </c>
    </row>
    <row r="13" spans="1:5" x14ac:dyDescent="0.3">
      <c r="A13" t="s">
        <v>626</v>
      </c>
      <c r="B13" t="s">
        <v>29</v>
      </c>
      <c r="C13" t="str">
        <f t="shared" ca="1" si="0"/>
        <v>19-06-2025</v>
      </c>
      <c r="D13" t="str" cm="1">
        <f t="array" ref="D13">_xlfn.IFS(Membership_Data!F13="Basic","5000",Membership_Data!F13="Standard","7500",Membership_Data!F13="Premium","10000")</f>
        <v>7500</v>
      </c>
      <c r="E13" t="str" cm="1">
        <f t="array" ref="E13">_xlfn.IFS(D13="5000","Cash",D13="7500","Debit Card",D13="10000","Credit Card")</f>
        <v>Debit Card</v>
      </c>
    </row>
    <row r="14" spans="1:5" x14ac:dyDescent="0.3">
      <c r="A14" t="s">
        <v>627</v>
      </c>
      <c r="B14" t="s">
        <v>30</v>
      </c>
      <c r="C14" t="str">
        <f t="shared" ca="1" si="0"/>
        <v>03-03-2024</v>
      </c>
      <c r="D14" t="str" cm="1">
        <f t="array" ref="D14">_xlfn.IFS(Membership_Data!F14="Basic","5000",Membership_Data!F14="Standard","7500",Membership_Data!F14="Premium","10000")</f>
        <v>5000</v>
      </c>
      <c r="E14" t="str" cm="1">
        <f t="array" ref="E14">_xlfn.IFS(D14="5000","Cash",D14="7500","Debit Card",D14="10000","Credit Card")</f>
        <v>Cash</v>
      </c>
    </row>
    <row r="15" spans="1:5" x14ac:dyDescent="0.3">
      <c r="A15" t="s">
        <v>628</v>
      </c>
      <c r="B15" t="s">
        <v>31</v>
      </c>
      <c r="C15" t="str">
        <f t="shared" ca="1" si="0"/>
        <v>10-03-2025</v>
      </c>
      <c r="D15" t="str" cm="1">
        <f t="array" ref="D15">_xlfn.IFS(Membership_Data!F15="Basic","5000",Membership_Data!F15="Standard","7500",Membership_Data!F15="Premium","10000")</f>
        <v>10000</v>
      </c>
      <c r="E15" t="str" cm="1">
        <f t="array" ref="E15">_xlfn.IFS(D15="5000","Cash",D15="7500","Debit Card",D15="10000","Credit Card")</f>
        <v>Credit Card</v>
      </c>
    </row>
    <row r="16" spans="1:5" x14ac:dyDescent="0.3">
      <c r="A16" t="s">
        <v>629</v>
      </c>
      <c r="B16" t="s">
        <v>32</v>
      </c>
      <c r="C16" t="str">
        <f t="shared" ca="1" si="0"/>
        <v>18-10-2024</v>
      </c>
      <c r="D16" t="str" cm="1">
        <f t="array" ref="D16">_xlfn.IFS(Membership_Data!F16="Basic","5000",Membership_Data!F16="Standard","7500",Membership_Data!F16="Premium","10000")</f>
        <v>7500</v>
      </c>
      <c r="E16" t="str" cm="1">
        <f t="array" ref="E16">_xlfn.IFS(D16="5000","Cash",D16="7500","Debit Card",D16="10000","Credit Card")</f>
        <v>Debit Card</v>
      </c>
    </row>
    <row r="17" spans="1:5" x14ac:dyDescent="0.3">
      <c r="A17" t="s">
        <v>630</v>
      </c>
      <c r="B17" t="s">
        <v>33</v>
      </c>
      <c r="C17" t="str">
        <f t="shared" ca="1" si="0"/>
        <v>04-02-2024</v>
      </c>
      <c r="D17" t="str" cm="1">
        <f t="array" ref="D17">_xlfn.IFS(Membership_Data!F17="Basic","5000",Membership_Data!F17="Standard","7500",Membership_Data!F17="Premium","10000")</f>
        <v>5000</v>
      </c>
      <c r="E17" t="str" cm="1">
        <f t="array" ref="E17">_xlfn.IFS(D17="5000","Cash",D17="7500","Debit Card",D17="10000","Credit Card")</f>
        <v>Cash</v>
      </c>
    </row>
    <row r="18" spans="1:5" x14ac:dyDescent="0.3">
      <c r="A18" t="s">
        <v>631</v>
      </c>
      <c r="B18" t="s">
        <v>34</v>
      </c>
      <c r="C18" t="str">
        <f t="shared" ca="1" si="0"/>
        <v>29-10-2024</v>
      </c>
      <c r="D18" t="str" cm="1">
        <f t="array" ref="D18">_xlfn.IFS(Membership_Data!F18="Basic","5000",Membership_Data!F18="Standard","7500",Membership_Data!F18="Premium","10000")</f>
        <v>10000</v>
      </c>
      <c r="E18" t="str" cm="1">
        <f t="array" ref="E18">_xlfn.IFS(D18="5000","Cash",D18="7500","Debit Card",D18="10000","Credit Card")</f>
        <v>Credit Card</v>
      </c>
    </row>
    <row r="19" spans="1:5" x14ac:dyDescent="0.3">
      <c r="A19" t="s">
        <v>632</v>
      </c>
      <c r="B19" t="s">
        <v>35</v>
      </c>
      <c r="C19" t="str">
        <f t="shared" ca="1" si="0"/>
        <v>21-04-2024</v>
      </c>
      <c r="D19" t="str" cm="1">
        <f t="array" ref="D19">_xlfn.IFS(Membership_Data!F19="Basic","5000",Membership_Data!F19="Standard","7500",Membership_Data!F19="Premium","10000")</f>
        <v>7500</v>
      </c>
      <c r="E19" t="str" cm="1">
        <f t="array" ref="E19">_xlfn.IFS(D19="5000","Cash",D19="7500","Debit Card",D19="10000","Credit Card")</f>
        <v>Debit Card</v>
      </c>
    </row>
    <row r="20" spans="1:5" x14ac:dyDescent="0.3">
      <c r="A20" t="s">
        <v>633</v>
      </c>
      <c r="B20" t="s">
        <v>36</v>
      </c>
      <c r="C20" t="str">
        <f t="shared" ca="1" si="0"/>
        <v>14-08-2025</v>
      </c>
      <c r="D20" t="str" cm="1">
        <f t="array" ref="D20">_xlfn.IFS(Membership_Data!F20="Basic","5000",Membership_Data!F20="Standard","7500",Membership_Data!F20="Premium","10000")</f>
        <v>5000</v>
      </c>
      <c r="E20" t="str" cm="1">
        <f t="array" ref="E20">_xlfn.IFS(D20="5000","Cash",D20="7500","Debit Card",D20="10000","Credit Card")</f>
        <v>Cash</v>
      </c>
    </row>
    <row r="21" spans="1:5" x14ac:dyDescent="0.3">
      <c r="A21" t="s">
        <v>634</v>
      </c>
      <c r="B21" t="s">
        <v>37</v>
      </c>
      <c r="C21" t="str">
        <f t="shared" ca="1" si="0"/>
        <v>30-03-2025</v>
      </c>
      <c r="D21" t="str" cm="1">
        <f t="array" ref="D21">_xlfn.IFS(Membership_Data!F21="Basic","5000",Membership_Data!F21="Standard","7500",Membership_Data!F21="Premium","10000")</f>
        <v>10000</v>
      </c>
      <c r="E21" t="str" cm="1">
        <f t="array" ref="E21">_xlfn.IFS(D21="5000","Cash",D21="7500","Debit Card",D21="10000","Credit Card")</f>
        <v>Credit Card</v>
      </c>
    </row>
    <row r="22" spans="1:5" x14ac:dyDescent="0.3">
      <c r="A22" t="s">
        <v>635</v>
      </c>
      <c r="B22" t="s">
        <v>38</v>
      </c>
      <c r="C22" t="str">
        <f t="shared" ca="1" si="0"/>
        <v>10-07-2025</v>
      </c>
      <c r="D22" t="str" cm="1">
        <f t="array" ref="D22">_xlfn.IFS(Membership_Data!F22="Basic","5000",Membership_Data!F22="Standard","7500",Membership_Data!F22="Premium","10000")</f>
        <v>7500</v>
      </c>
      <c r="E22" t="str" cm="1">
        <f t="array" ref="E22">_xlfn.IFS(D22="5000","Cash",D22="7500","Debit Card",D22="10000","Credit Card")</f>
        <v>Debit Card</v>
      </c>
    </row>
    <row r="23" spans="1:5" x14ac:dyDescent="0.3">
      <c r="A23" t="s">
        <v>636</v>
      </c>
      <c r="B23" t="s">
        <v>39</v>
      </c>
      <c r="C23" t="str">
        <f t="shared" ca="1" si="0"/>
        <v>30-10-2025</v>
      </c>
      <c r="D23" t="str" cm="1">
        <f t="array" ref="D23">_xlfn.IFS(Membership_Data!F23="Basic","5000",Membership_Data!F23="Standard","7500",Membership_Data!F23="Premium","10000")</f>
        <v>5000</v>
      </c>
      <c r="E23" t="str" cm="1">
        <f t="array" ref="E23">_xlfn.IFS(D23="5000","Cash",D23="7500","Debit Card",D23="10000","Credit Card")</f>
        <v>Cash</v>
      </c>
    </row>
    <row r="24" spans="1:5" x14ac:dyDescent="0.3">
      <c r="A24" t="s">
        <v>637</v>
      </c>
      <c r="B24" t="s">
        <v>40</v>
      </c>
      <c r="C24" t="str">
        <f t="shared" ca="1" si="0"/>
        <v>18-08-2025</v>
      </c>
      <c r="D24" t="str" cm="1">
        <f t="array" ref="D24">_xlfn.IFS(Membership_Data!F24="Basic","5000",Membership_Data!F24="Standard","7500",Membership_Data!F24="Premium","10000")</f>
        <v>10000</v>
      </c>
      <c r="E24" t="str" cm="1">
        <f t="array" ref="E24">_xlfn.IFS(D24="5000","Cash",D24="7500","Debit Card",D24="10000","Credit Card")</f>
        <v>Credit Card</v>
      </c>
    </row>
    <row r="25" spans="1:5" x14ac:dyDescent="0.3">
      <c r="A25" t="s">
        <v>638</v>
      </c>
      <c r="B25" t="s">
        <v>41</v>
      </c>
      <c r="C25" t="str">
        <f t="shared" ca="1" si="0"/>
        <v>10-10-2024</v>
      </c>
      <c r="D25" t="str" cm="1">
        <f t="array" ref="D25">_xlfn.IFS(Membership_Data!F25="Basic","5000",Membership_Data!F25="Standard","7500",Membership_Data!F25="Premium","10000")</f>
        <v>7500</v>
      </c>
      <c r="E25" t="str" cm="1">
        <f t="array" ref="E25">_xlfn.IFS(D25="5000","Cash",D25="7500","Debit Card",D25="10000","Credit Card")</f>
        <v>Debit Card</v>
      </c>
    </row>
    <row r="26" spans="1:5" x14ac:dyDescent="0.3">
      <c r="A26" t="s">
        <v>639</v>
      </c>
      <c r="B26" t="s">
        <v>42</v>
      </c>
      <c r="C26" t="str">
        <f t="shared" ca="1" si="0"/>
        <v>14-03-2025</v>
      </c>
      <c r="D26" t="str" cm="1">
        <f t="array" ref="D26">_xlfn.IFS(Membership_Data!F26="Basic","5000",Membership_Data!F26="Standard","7500",Membership_Data!F26="Premium","10000")</f>
        <v>5000</v>
      </c>
      <c r="E26" t="str" cm="1">
        <f t="array" ref="E26">_xlfn.IFS(D26="5000","Cash",D26="7500","Debit Card",D26="10000","Credit Card")</f>
        <v>Cash</v>
      </c>
    </row>
    <row r="27" spans="1:5" x14ac:dyDescent="0.3">
      <c r="A27" t="s">
        <v>640</v>
      </c>
      <c r="B27" t="s">
        <v>43</v>
      </c>
      <c r="C27" t="str">
        <f t="shared" ca="1" si="0"/>
        <v>26-08-2025</v>
      </c>
      <c r="D27" t="str" cm="1">
        <f t="array" ref="D27">_xlfn.IFS(Membership_Data!F27="Basic","5000",Membership_Data!F27="Standard","7500",Membership_Data!F27="Premium","10000")</f>
        <v>10000</v>
      </c>
      <c r="E27" t="str" cm="1">
        <f t="array" ref="E27">_xlfn.IFS(D27="5000","Cash",D27="7500","Debit Card",D27="10000","Credit Card")</f>
        <v>Credit Card</v>
      </c>
    </row>
    <row r="28" spans="1:5" x14ac:dyDescent="0.3">
      <c r="A28" t="s">
        <v>641</v>
      </c>
      <c r="B28" t="s">
        <v>44</v>
      </c>
      <c r="C28" t="str">
        <f t="shared" ca="1" si="0"/>
        <v>24-07-2025</v>
      </c>
      <c r="D28" t="str" cm="1">
        <f t="array" ref="D28">_xlfn.IFS(Membership_Data!F28="Basic","5000",Membership_Data!F28="Standard","7500",Membership_Data!F28="Premium","10000")</f>
        <v>7500</v>
      </c>
      <c r="E28" t="str" cm="1">
        <f t="array" ref="E28">_xlfn.IFS(D28="5000","Cash",D28="7500","Debit Card",D28="10000","Credit Card")</f>
        <v>Debit Card</v>
      </c>
    </row>
    <row r="29" spans="1:5" x14ac:dyDescent="0.3">
      <c r="A29" t="s">
        <v>642</v>
      </c>
      <c r="B29" t="s">
        <v>45</v>
      </c>
      <c r="C29" t="str">
        <f t="shared" ca="1" si="0"/>
        <v>22-10-2025</v>
      </c>
      <c r="D29" t="str" cm="1">
        <f t="array" ref="D29">_xlfn.IFS(Membership_Data!F29="Basic","5000",Membership_Data!F29="Standard","7500",Membership_Data!F29="Premium","10000")</f>
        <v>5000</v>
      </c>
      <c r="E29" t="str" cm="1">
        <f t="array" ref="E29">_xlfn.IFS(D29="5000","Cash",D29="7500","Debit Card",D29="10000","Credit Card")</f>
        <v>Cash</v>
      </c>
    </row>
    <row r="30" spans="1:5" x14ac:dyDescent="0.3">
      <c r="A30" t="s">
        <v>643</v>
      </c>
      <c r="B30" t="s">
        <v>46</v>
      </c>
      <c r="C30" t="str">
        <f t="shared" ca="1" si="0"/>
        <v>23-09-2024</v>
      </c>
      <c r="D30" t="str" cm="1">
        <f t="array" ref="D30">_xlfn.IFS(Membership_Data!F30="Basic","5000",Membership_Data!F30="Standard","7500",Membership_Data!F30="Premium","10000")</f>
        <v>10000</v>
      </c>
      <c r="E30" t="str" cm="1">
        <f t="array" ref="E30">_xlfn.IFS(D30="5000","Cash",D30="7500","Debit Card",D30="10000","Credit Card")</f>
        <v>Credit Card</v>
      </c>
    </row>
    <row r="31" spans="1:5" x14ac:dyDescent="0.3">
      <c r="A31" t="s">
        <v>644</v>
      </c>
      <c r="B31" t="s">
        <v>47</v>
      </c>
      <c r="C31" t="str">
        <f t="shared" ca="1" si="0"/>
        <v>11-06-2024</v>
      </c>
      <c r="D31" t="str" cm="1">
        <f t="array" ref="D31">_xlfn.IFS(Membership_Data!F31="Basic","5000",Membership_Data!F31="Standard","7500",Membership_Data!F31="Premium","10000")</f>
        <v>7500</v>
      </c>
      <c r="E31" t="str" cm="1">
        <f t="array" ref="E31">_xlfn.IFS(D31="5000","Cash",D31="7500","Debit Card",D31="10000","Credit Card")</f>
        <v>Debit Card</v>
      </c>
    </row>
    <row r="32" spans="1:5" x14ac:dyDescent="0.3">
      <c r="A32" t="s">
        <v>645</v>
      </c>
      <c r="B32" t="s">
        <v>48</v>
      </c>
      <c r="C32" t="str">
        <f t="shared" ca="1" si="0"/>
        <v>22-09-2025</v>
      </c>
      <c r="D32" t="str" cm="1">
        <f t="array" ref="D32">_xlfn.IFS(Membership_Data!F32="Basic","5000",Membership_Data!F32="Standard","7500",Membership_Data!F32="Premium","10000")</f>
        <v>5000</v>
      </c>
      <c r="E32" t="str" cm="1">
        <f t="array" ref="E32">_xlfn.IFS(D32="5000","Cash",D32="7500","Debit Card",D32="10000","Credit Card")</f>
        <v>Cash</v>
      </c>
    </row>
    <row r="33" spans="1:5" x14ac:dyDescent="0.3">
      <c r="A33" t="s">
        <v>646</v>
      </c>
      <c r="B33" t="s">
        <v>49</v>
      </c>
      <c r="C33" t="str">
        <f t="shared" ca="1" si="0"/>
        <v>13-10-2025</v>
      </c>
      <c r="D33" t="str" cm="1">
        <f t="array" ref="D33">_xlfn.IFS(Membership_Data!F33="Basic","5000",Membership_Data!F33="Standard","7500",Membership_Data!F33="Premium","10000")</f>
        <v>10000</v>
      </c>
      <c r="E33" t="str" cm="1">
        <f t="array" ref="E33">_xlfn.IFS(D33="5000","Cash",D33="7500","Debit Card",D33="10000","Credit Card")</f>
        <v>Credit Card</v>
      </c>
    </row>
    <row r="34" spans="1:5" x14ac:dyDescent="0.3">
      <c r="A34" t="s">
        <v>647</v>
      </c>
      <c r="B34" t="s">
        <v>50</v>
      </c>
      <c r="C34" t="str">
        <f t="shared" ca="1" si="0"/>
        <v>05-04-2025</v>
      </c>
      <c r="D34" t="str" cm="1">
        <f t="array" ref="D34">_xlfn.IFS(Membership_Data!F34="Basic","5000",Membership_Data!F34="Standard","7500",Membership_Data!F34="Premium","10000")</f>
        <v>7500</v>
      </c>
      <c r="E34" t="str" cm="1">
        <f t="array" ref="E34">_xlfn.IFS(D34="5000","Cash",D34="7500","Debit Card",D34="10000","Credit Card")</f>
        <v>Debit Card</v>
      </c>
    </row>
    <row r="35" spans="1:5" x14ac:dyDescent="0.3">
      <c r="A35" t="s">
        <v>648</v>
      </c>
      <c r="B35" t="s">
        <v>51</v>
      </c>
      <c r="C35" t="str">
        <f t="shared" ca="1" si="0"/>
        <v>18-02-2025</v>
      </c>
      <c r="D35" t="str" cm="1">
        <f t="array" ref="D35">_xlfn.IFS(Membership_Data!F35="Basic","5000",Membership_Data!F35="Standard","7500",Membership_Data!F35="Premium","10000")</f>
        <v>5000</v>
      </c>
      <c r="E35" t="str" cm="1">
        <f t="array" ref="E35">_xlfn.IFS(D35="5000","Cash",D35="7500","Debit Card",D35="10000","Credit Card")</f>
        <v>Cash</v>
      </c>
    </row>
    <row r="36" spans="1:5" x14ac:dyDescent="0.3">
      <c r="A36" t="s">
        <v>649</v>
      </c>
      <c r="B36" t="s">
        <v>52</v>
      </c>
      <c r="C36" t="str">
        <f t="shared" ca="1" si="0"/>
        <v>03-05-2025</v>
      </c>
      <c r="D36" t="str" cm="1">
        <f t="array" ref="D36">_xlfn.IFS(Membership_Data!F36="Basic","5000",Membership_Data!F36="Standard","7500",Membership_Data!F36="Premium","10000")</f>
        <v>10000</v>
      </c>
      <c r="E36" t="str" cm="1">
        <f t="array" ref="E36">_xlfn.IFS(D36="5000","Cash",D36="7500","Debit Card",D36="10000","Credit Card")</f>
        <v>Credit Card</v>
      </c>
    </row>
    <row r="37" spans="1:5" x14ac:dyDescent="0.3">
      <c r="A37" t="s">
        <v>650</v>
      </c>
      <c r="B37" t="s">
        <v>53</v>
      </c>
      <c r="C37" t="str">
        <f t="shared" ca="1" si="0"/>
        <v>27-11-2024</v>
      </c>
      <c r="D37" t="str" cm="1">
        <f t="array" ref="D37">_xlfn.IFS(Membership_Data!F37="Basic","5000",Membership_Data!F37="Standard","7500",Membership_Data!F37="Premium","10000")</f>
        <v>7500</v>
      </c>
      <c r="E37" t="str" cm="1">
        <f t="array" ref="E37">_xlfn.IFS(D37="5000","Cash",D37="7500","Debit Card",D37="10000","Credit Card")</f>
        <v>Debit Card</v>
      </c>
    </row>
    <row r="38" spans="1:5" x14ac:dyDescent="0.3">
      <c r="A38" t="s">
        <v>651</v>
      </c>
      <c r="B38" t="s">
        <v>54</v>
      </c>
      <c r="C38" t="str">
        <f t="shared" ca="1" si="0"/>
        <v>05-08-2024</v>
      </c>
      <c r="D38" t="str" cm="1">
        <f t="array" ref="D38">_xlfn.IFS(Membership_Data!F38="Basic","5000",Membership_Data!F38="Standard","7500",Membership_Data!F38="Premium","10000")</f>
        <v>5000</v>
      </c>
      <c r="E38" t="str" cm="1">
        <f t="array" ref="E38">_xlfn.IFS(D38="5000","Cash",D38="7500","Debit Card",D38="10000","Credit Card")</f>
        <v>Cash</v>
      </c>
    </row>
    <row r="39" spans="1:5" x14ac:dyDescent="0.3">
      <c r="A39" t="s">
        <v>652</v>
      </c>
      <c r="B39" t="s">
        <v>55</v>
      </c>
      <c r="C39" t="str">
        <f t="shared" ca="1" si="0"/>
        <v>06-02-2024</v>
      </c>
      <c r="D39" t="str" cm="1">
        <f t="array" ref="D39">_xlfn.IFS(Membership_Data!F39="Basic","5000",Membership_Data!F39="Standard","7500",Membership_Data!F39="Premium","10000")</f>
        <v>10000</v>
      </c>
      <c r="E39" t="str" cm="1">
        <f t="array" ref="E39">_xlfn.IFS(D39="5000","Cash",D39="7500","Debit Card",D39="10000","Credit Card")</f>
        <v>Credit Card</v>
      </c>
    </row>
    <row r="40" spans="1:5" x14ac:dyDescent="0.3">
      <c r="A40" t="s">
        <v>653</v>
      </c>
      <c r="B40" t="s">
        <v>56</v>
      </c>
      <c r="C40" t="str">
        <f t="shared" ca="1" si="0"/>
        <v>19-06-2024</v>
      </c>
      <c r="D40" t="str" cm="1">
        <f t="array" ref="D40">_xlfn.IFS(Membership_Data!F40="Basic","5000",Membership_Data!F40="Standard","7500",Membership_Data!F40="Premium","10000")</f>
        <v>7500</v>
      </c>
      <c r="E40" t="str" cm="1">
        <f t="array" ref="E40">_xlfn.IFS(D40="5000","Cash",D40="7500","Debit Card",D40="10000","Credit Card")</f>
        <v>Debit Card</v>
      </c>
    </row>
    <row r="41" spans="1:5" x14ac:dyDescent="0.3">
      <c r="A41" t="s">
        <v>654</v>
      </c>
      <c r="B41" t="s">
        <v>57</v>
      </c>
      <c r="C41" t="str">
        <f t="shared" ca="1" si="0"/>
        <v>10-03-2024</v>
      </c>
      <c r="D41" t="str" cm="1">
        <f t="array" ref="D41">_xlfn.IFS(Membership_Data!F41="Basic","5000",Membership_Data!F41="Standard","7500",Membership_Data!F41="Premium","10000")</f>
        <v>5000</v>
      </c>
      <c r="E41" t="str" cm="1">
        <f t="array" ref="E41">_xlfn.IFS(D41="5000","Cash",D41="7500","Debit Card",D41="10000","Credit Card")</f>
        <v>Cash</v>
      </c>
    </row>
    <row r="42" spans="1:5" x14ac:dyDescent="0.3">
      <c r="A42" t="s">
        <v>655</v>
      </c>
      <c r="B42" t="s">
        <v>58</v>
      </c>
      <c r="C42" t="str">
        <f t="shared" ca="1" si="0"/>
        <v>15-07-2024</v>
      </c>
      <c r="D42" t="str" cm="1">
        <f t="array" ref="D42">_xlfn.IFS(Membership_Data!F42="Basic","5000",Membership_Data!F42="Standard","7500",Membership_Data!F42="Premium","10000")</f>
        <v>10000</v>
      </c>
      <c r="E42" t="str" cm="1">
        <f t="array" ref="E42">_xlfn.IFS(D42="5000","Cash",D42="7500","Debit Card",D42="10000","Credit Card")</f>
        <v>Credit Card</v>
      </c>
    </row>
    <row r="43" spans="1:5" x14ac:dyDescent="0.3">
      <c r="A43" t="s">
        <v>656</v>
      </c>
      <c r="B43" t="s">
        <v>59</v>
      </c>
      <c r="C43" t="str">
        <f t="shared" ca="1" si="0"/>
        <v>21-02-2025</v>
      </c>
      <c r="D43" t="str" cm="1">
        <f t="array" ref="D43">_xlfn.IFS(Membership_Data!F43="Basic","5000",Membership_Data!F43="Standard","7500",Membership_Data!F43="Premium","10000")</f>
        <v>7500</v>
      </c>
      <c r="E43" t="str" cm="1">
        <f t="array" ref="E43">_xlfn.IFS(D43="5000","Cash",D43="7500","Debit Card",D43="10000","Credit Card")</f>
        <v>Debit Card</v>
      </c>
    </row>
    <row r="44" spans="1:5" x14ac:dyDescent="0.3">
      <c r="A44" t="s">
        <v>657</v>
      </c>
      <c r="B44" t="s">
        <v>60</v>
      </c>
      <c r="C44" t="str">
        <f t="shared" ca="1" si="0"/>
        <v>10-05-2025</v>
      </c>
      <c r="D44" t="str" cm="1">
        <f t="array" ref="D44">_xlfn.IFS(Membership_Data!F44="Basic","5000",Membership_Data!F44="Standard","7500",Membership_Data!F44="Premium","10000")</f>
        <v>5000</v>
      </c>
      <c r="E44" t="str" cm="1">
        <f t="array" ref="E44">_xlfn.IFS(D44="5000","Cash",D44="7500","Debit Card",D44="10000","Credit Card")</f>
        <v>Cash</v>
      </c>
    </row>
    <row r="45" spans="1:5" x14ac:dyDescent="0.3">
      <c r="A45" t="s">
        <v>658</v>
      </c>
      <c r="B45" t="s">
        <v>61</v>
      </c>
      <c r="C45" t="str">
        <f t="shared" ca="1" si="0"/>
        <v>07-10-2024</v>
      </c>
      <c r="D45" t="str" cm="1">
        <f t="array" ref="D45">_xlfn.IFS(Membership_Data!F45="Basic","5000",Membership_Data!F45="Standard","7500",Membership_Data!F45="Premium","10000")</f>
        <v>10000</v>
      </c>
      <c r="E45" t="str" cm="1">
        <f t="array" ref="E45">_xlfn.IFS(D45="5000","Cash",D45="7500","Debit Card",D45="10000","Credit Card")</f>
        <v>Credit Card</v>
      </c>
    </row>
    <row r="46" spans="1:5" x14ac:dyDescent="0.3">
      <c r="A46" t="s">
        <v>659</v>
      </c>
      <c r="B46" t="s">
        <v>62</v>
      </c>
      <c r="C46" t="str">
        <f t="shared" ca="1" si="0"/>
        <v>11-07-2025</v>
      </c>
      <c r="D46" t="str" cm="1">
        <f t="array" ref="D46">_xlfn.IFS(Membership_Data!F46="Basic","5000",Membership_Data!F46="Standard","7500",Membership_Data!F46="Premium","10000")</f>
        <v>7500</v>
      </c>
      <c r="E46" t="str" cm="1">
        <f t="array" ref="E46">_xlfn.IFS(D46="5000","Cash",D46="7500","Debit Card",D46="10000","Credit Card")</f>
        <v>Debit Card</v>
      </c>
    </row>
    <row r="47" spans="1:5" x14ac:dyDescent="0.3">
      <c r="A47" t="s">
        <v>660</v>
      </c>
      <c r="B47" t="s">
        <v>63</v>
      </c>
      <c r="C47" t="str">
        <f t="shared" ca="1" si="0"/>
        <v>19-12-2025</v>
      </c>
      <c r="D47" t="str" cm="1">
        <f t="array" ref="D47">_xlfn.IFS(Membership_Data!F47="Basic","5000",Membership_Data!F47="Standard","7500",Membership_Data!F47="Premium","10000")</f>
        <v>5000</v>
      </c>
      <c r="E47" t="str" cm="1">
        <f t="array" ref="E47">_xlfn.IFS(D47="5000","Cash",D47="7500","Debit Card",D47="10000","Credit Card")</f>
        <v>Cash</v>
      </c>
    </row>
    <row r="48" spans="1:5" x14ac:dyDescent="0.3">
      <c r="A48" t="s">
        <v>661</v>
      </c>
      <c r="B48" t="s">
        <v>64</v>
      </c>
      <c r="C48" t="str">
        <f t="shared" ca="1" si="0"/>
        <v>18-11-2024</v>
      </c>
      <c r="D48" t="str" cm="1">
        <f t="array" ref="D48">_xlfn.IFS(Membership_Data!F48="Basic","5000",Membership_Data!F48="Standard","7500",Membership_Data!F48="Premium","10000")</f>
        <v>10000</v>
      </c>
      <c r="E48" t="str" cm="1">
        <f t="array" ref="E48">_xlfn.IFS(D48="5000","Cash",D48="7500","Debit Card",D48="10000","Credit Card")</f>
        <v>Credit Card</v>
      </c>
    </row>
    <row r="49" spans="1:5" x14ac:dyDescent="0.3">
      <c r="A49" t="s">
        <v>662</v>
      </c>
      <c r="B49" t="s">
        <v>65</v>
      </c>
      <c r="C49" t="str">
        <f t="shared" ca="1" si="0"/>
        <v>02-01-2024</v>
      </c>
      <c r="D49" t="str" cm="1">
        <f t="array" ref="D49">_xlfn.IFS(Membership_Data!F49="Basic","5000",Membership_Data!F49="Standard","7500",Membership_Data!F49="Premium","10000")</f>
        <v>7500</v>
      </c>
      <c r="E49" t="str" cm="1">
        <f t="array" ref="E49">_xlfn.IFS(D49="5000","Cash",D49="7500","Debit Card",D49="10000","Credit Card")</f>
        <v>Debit Card</v>
      </c>
    </row>
    <row r="50" spans="1:5" x14ac:dyDescent="0.3">
      <c r="A50" t="s">
        <v>663</v>
      </c>
      <c r="B50" t="s">
        <v>66</v>
      </c>
      <c r="C50" t="str">
        <f t="shared" ca="1" si="0"/>
        <v>11-08-2024</v>
      </c>
      <c r="D50" t="str" cm="1">
        <f t="array" ref="D50">_xlfn.IFS(Membership_Data!F50="Basic","5000",Membership_Data!F50="Standard","7500",Membership_Data!F50="Premium","10000")</f>
        <v>5000</v>
      </c>
      <c r="E50" t="str" cm="1">
        <f t="array" ref="E50">_xlfn.IFS(D50="5000","Cash",D50="7500","Debit Card",D50="10000","Credit Card")</f>
        <v>Cash</v>
      </c>
    </row>
    <row r="51" spans="1:5" x14ac:dyDescent="0.3">
      <c r="A51" t="s">
        <v>664</v>
      </c>
      <c r="B51" t="s">
        <v>67</v>
      </c>
      <c r="C51" t="str">
        <f t="shared" ca="1" si="0"/>
        <v>03-08-2024</v>
      </c>
      <c r="D51" t="str" cm="1">
        <f t="array" ref="D51">_xlfn.IFS(Membership_Data!F51="Basic","5000",Membership_Data!F51="Standard","7500",Membership_Data!F51="Premium","10000")</f>
        <v>10000</v>
      </c>
      <c r="E51" t="str" cm="1">
        <f t="array" ref="E51">_xlfn.IFS(D51="5000","Cash",D51="7500","Debit Card",D51="10000","Credit Card")</f>
        <v>Credit Card</v>
      </c>
    </row>
    <row r="52" spans="1:5" x14ac:dyDescent="0.3">
      <c r="A52" t="s">
        <v>665</v>
      </c>
      <c r="B52" t="s">
        <v>68</v>
      </c>
      <c r="C52" t="str">
        <f t="shared" ca="1" si="0"/>
        <v>29-01-2025</v>
      </c>
      <c r="D52" t="str" cm="1">
        <f t="array" ref="D52">_xlfn.IFS(Membership_Data!F52="Basic","5000",Membership_Data!F52="Standard","7500",Membership_Data!F52="Premium","10000")</f>
        <v>7500</v>
      </c>
      <c r="E52" t="str" cm="1">
        <f t="array" ref="E52">_xlfn.IFS(D52="5000","Cash",D52="7500","Debit Card",D52="10000","Credit Card")</f>
        <v>Debit Card</v>
      </c>
    </row>
    <row r="53" spans="1:5" x14ac:dyDescent="0.3">
      <c r="A53" t="s">
        <v>666</v>
      </c>
      <c r="B53" t="s">
        <v>69</v>
      </c>
      <c r="C53" t="str">
        <f t="shared" ca="1" si="0"/>
        <v>06-03-2025</v>
      </c>
      <c r="D53" t="str" cm="1">
        <f t="array" ref="D53">_xlfn.IFS(Membership_Data!F53="Basic","5000",Membership_Data!F53="Standard","7500",Membership_Data!F53="Premium","10000")</f>
        <v>5000</v>
      </c>
      <c r="E53" t="str" cm="1">
        <f t="array" ref="E53">_xlfn.IFS(D53="5000","Cash",D53="7500","Debit Card",D53="10000","Credit Card")</f>
        <v>Cash</v>
      </c>
    </row>
    <row r="54" spans="1:5" x14ac:dyDescent="0.3">
      <c r="A54" t="s">
        <v>667</v>
      </c>
      <c r="B54" t="s">
        <v>70</v>
      </c>
      <c r="C54" t="str">
        <f t="shared" ca="1" si="0"/>
        <v>25-05-2024</v>
      </c>
      <c r="D54" t="str" cm="1">
        <f t="array" ref="D54">_xlfn.IFS(Membership_Data!F54="Basic","5000",Membership_Data!F54="Standard","7500",Membership_Data!F54="Premium","10000")</f>
        <v>10000</v>
      </c>
      <c r="E54" t="str" cm="1">
        <f t="array" ref="E54">_xlfn.IFS(D54="5000","Cash",D54="7500","Debit Card",D54="10000","Credit Card")</f>
        <v>Credit Card</v>
      </c>
    </row>
    <row r="55" spans="1:5" x14ac:dyDescent="0.3">
      <c r="A55" t="s">
        <v>668</v>
      </c>
      <c r="B55" t="s">
        <v>71</v>
      </c>
      <c r="C55" t="str">
        <f t="shared" ca="1" si="0"/>
        <v>20-05-2024</v>
      </c>
      <c r="D55" t="str" cm="1">
        <f t="array" ref="D55">_xlfn.IFS(Membership_Data!F55="Basic","5000",Membership_Data!F55="Standard","7500",Membership_Data!F55="Premium","10000")</f>
        <v>7500</v>
      </c>
      <c r="E55" t="str" cm="1">
        <f t="array" ref="E55">_xlfn.IFS(D55="5000","Cash",D55="7500","Debit Card",D55="10000","Credit Card")</f>
        <v>Debit Card</v>
      </c>
    </row>
    <row r="56" spans="1:5" x14ac:dyDescent="0.3">
      <c r="A56" t="s">
        <v>669</v>
      </c>
      <c r="B56" t="s">
        <v>72</v>
      </c>
      <c r="C56" t="str">
        <f t="shared" ca="1" si="0"/>
        <v>16-02-2024</v>
      </c>
      <c r="D56" t="str" cm="1">
        <f t="array" ref="D56">_xlfn.IFS(Membership_Data!F56="Basic","5000",Membership_Data!F56="Standard","7500",Membership_Data!F56="Premium","10000")</f>
        <v>5000</v>
      </c>
      <c r="E56" t="str" cm="1">
        <f t="array" ref="E56">_xlfn.IFS(D56="5000","Cash",D56="7500","Debit Card",D56="10000","Credit Card")</f>
        <v>Cash</v>
      </c>
    </row>
    <row r="57" spans="1:5" x14ac:dyDescent="0.3">
      <c r="A57" t="s">
        <v>670</v>
      </c>
      <c r="B57" t="s">
        <v>73</v>
      </c>
      <c r="C57" t="str">
        <f t="shared" ca="1" si="0"/>
        <v>13-09-2024</v>
      </c>
      <c r="D57" t="str" cm="1">
        <f t="array" ref="D57">_xlfn.IFS(Membership_Data!F57="Basic","5000",Membership_Data!F57="Standard","7500",Membership_Data!F57="Premium","10000")</f>
        <v>10000</v>
      </c>
      <c r="E57" t="str" cm="1">
        <f t="array" ref="E57">_xlfn.IFS(D57="5000","Cash",D57="7500","Debit Card",D57="10000","Credit Card")</f>
        <v>Credit Card</v>
      </c>
    </row>
    <row r="58" spans="1:5" x14ac:dyDescent="0.3">
      <c r="A58" t="s">
        <v>671</v>
      </c>
      <c r="B58" t="s">
        <v>74</v>
      </c>
      <c r="C58" t="str">
        <f t="shared" ca="1" si="0"/>
        <v>02-10-2025</v>
      </c>
      <c r="D58" t="str" cm="1">
        <f t="array" ref="D58">_xlfn.IFS(Membership_Data!F58="Basic","5000",Membership_Data!F58="Standard","7500",Membership_Data!F58="Premium","10000")</f>
        <v>7500</v>
      </c>
      <c r="E58" t="str" cm="1">
        <f t="array" ref="E58">_xlfn.IFS(D58="5000","Cash",D58="7500","Debit Card",D58="10000","Credit Card")</f>
        <v>Debit Card</v>
      </c>
    </row>
    <row r="59" spans="1:5" x14ac:dyDescent="0.3">
      <c r="A59" t="s">
        <v>672</v>
      </c>
      <c r="B59" t="s">
        <v>75</v>
      </c>
      <c r="C59" t="str">
        <f t="shared" ca="1" si="0"/>
        <v>28-12-2024</v>
      </c>
      <c r="D59" t="str" cm="1">
        <f t="array" ref="D59">_xlfn.IFS(Membership_Data!F59="Basic","5000",Membership_Data!F59="Standard","7500",Membership_Data!F59="Premium","10000")</f>
        <v>5000</v>
      </c>
      <c r="E59" t="str" cm="1">
        <f t="array" ref="E59">_xlfn.IFS(D59="5000","Cash",D59="7500","Debit Card",D59="10000","Credit Card")</f>
        <v>Cash</v>
      </c>
    </row>
    <row r="60" spans="1:5" x14ac:dyDescent="0.3">
      <c r="A60" t="s">
        <v>673</v>
      </c>
      <c r="B60" t="s">
        <v>76</v>
      </c>
      <c r="C60" t="str">
        <f t="shared" ca="1" si="0"/>
        <v>30-10-2024</v>
      </c>
      <c r="D60" t="str" cm="1">
        <f t="array" ref="D60">_xlfn.IFS(Membership_Data!F60="Basic","5000",Membership_Data!F60="Standard","7500",Membership_Data!F60="Premium","10000")</f>
        <v>10000</v>
      </c>
      <c r="E60" t="str" cm="1">
        <f t="array" ref="E60">_xlfn.IFS(D60="5000","Cash",D60="7500","Debit Card",D60="10000","Credit Card")</f>
        <v>Credit Card</v>
      </c>
    </row>
    <row r="61" spans="1:5" x14ac:dyDescent="0.3">
      <c r="A61" t="s">
        <v>674</v>
      </c>
      <c r="B61" t="s">
        <v>77</v>
      </c>
      <c r="C61" t="str">
        <f t="shared" ca="1" si="0"/>
        <v>28-01-2024</v>
      </c>
      <c r="D61" t="str" cm="1">
        <f t="array" ref="D61">_xlfn.IFS(Membership_Data!F61="Basic","5000",Membership_Data!F61="Standard","7500",Membership_Data!F61="Premium","10000")</f>
        <v>7500</v>
      </c>
      <c r="E61" t="str" cm="1">
        <f t="array" ref="E61">_xlfn.IFS(D61="5000","Cash",D61="7500","Debit Card",D61="10000","Credit Card")</f>
        <v>Debit Card</v>
      </c>
    </row>
    <row r="62" spans="1:5" x14ac:dyDescent="0.3">
      <c r="A62" t="s">
        <v>675</v>
      </c>
      <c r="B62" t="s">
        <v>78</v>
      </c>
      <c r="C62" t="str">
        <f t="shared" ca="1" si="0"/>
        <v>01-08-2024</v>
      </c>
      <c r="D62" t="str" cm="1">
        <f t="array" ref="D62">_xlfn.IFS(Membership_Data!F62="Basic","5000",Membership_Data!F62="Standard","7500",Membership_Data!F62="Premium","10000")</f>
        <v>5000</v>
      </c>
      <c r="E62" t="str" cm="1">
        <f t="array" ref="E62">_xlfn.IFS(D62="5000","Cash",D62="7500","Debit Card",D62="10000","Credit Card")</f>
        <v>Cash</v>
      </c>
    </row>
    <row r="63" spans="1:5" x14ac:dyDescent="0.3">
      <c r="A63" t="s">
        <v>676</v>
      </c>
      <c r="B63" t="s">
        <v>79</v>
      </c>
      <c r="C63" t="str">
        <f t="shared" ca="1" si="0"/>
        <v>15-09-2024</v>
      </c>
      <c r="D63" t="str" cm="1">
        <f t="array" ref="D63">_xlfn.IFS(Membership_Data!F63="Basic","5000",Membership_Data!F63="Standard","7500",Membership_Data!F63="Premium","10000")</f>
        <v>10000</v>
      </c>
      <c r="E63" t="str" cm="1">
        <f t="array" ref="E63">_xlfn.IFS(D63="5000","Cash",D63="7500","Debit Card",D63="10000","Credit Card")</f>
        <v>Credit Card</v>
      </c>
    </row>
    <row r="64" spans="1:5" x14ac:dyDescent="0.3">
      <c r="A64" t="s">
        <v>677</v>
      </c>
      <c r="B64" t="s">
        <v>80</v>
      </c>
      <c r="C64" t="str">
        <f t="shared" ca="1" si="0"/>
        <v>02-04-2024</v>
      </c>
      <c r="D64" t="str" cm="1">
        <f t="array" ref="D64">_xlfn.IFS(Membership_Data!F64="Basic","5000",Membership_Data!F64="Standard","7500",Membership_Data!F64="Premium","10000")</f>
        <v>7500</v>
      </c>
      <c r="E64" t="str" cm="1">
        <f t="array" ref="E64">_xlfn.IFS(D64="5000","Cash",D64="7500","Debit Card",D64="10000","Credit Card")</f>
        <v>Debit Card</v>
      </c>
    </row>
    <row r="65" spans="1:5" x14ac:dyDescent="0.3">
      <c r="A65" t="s">
        <v>678</v>
      </c>
      <c r="B65" t="s">
        <v>81</v>
      </c>
      <c r="C65" t="str">
        <f t="shared" ca="1" si="0"/>
        <v>09-11-2025</v>
      </c>
      <c r="D65" t="str" cm="1">
        <f t="array" ref="D65">_xlfn.IFS(Membership_Data!F65="Basic","5000",Membership_Data!F65="Standard","7500",Membership_Data!F65="Premium","10000")</f>
        <v>5000</v>
      </c>
      <c r="E65" t="str" cm="1">
        <f t="array" ref="E65">_xlfn.IFS(D65="5000","Cash",D65="7500","Debit Card",D65="10000","Credit Card")</f>
        <v>Cash</v>
      </c>
    </row>
    <row r="66" spans="1:5" x14ac:dyDescent="0.3">
      <c r="A66" t="s">
        <v>679</v>
      </c>
      <c r="B66" t="s">
        <v>82</v>
      </c>
      <c r="C66" t="str">
        <f t="shared" ca="1" si="0"/>
        <v>31-07-2024</v>
      </c>
      <c r="D66" t="str" cm="1">
        <f t="array" ref="D66">_xlfn.IFS(Membership_Data!F66="Basic","5000",Membership_Data!F66="Standard","7500",Membership_Data!F66="Premium","10000")</f>
        <v>10000</v>
      </c>
      <c r="E66" t="str" cm="1">
        <f t="array" ref="E66">_xlfn.IFS(D66="5000","Cash",D66="7500","Debit Card",D66="10000","Credit Card")</f>
        <v>Credit Card</v>
      </c>
    </row>
    <row r="67" spans="1:5" x14ac:dyDescent="0.3">
      <c r="A67" t="s">
        <v>680</v>
      </c>
      <c r="B67" t="s">
        <v>83</v>
      </c>
      <c r="C67" t="str">
        <f t="shared" ref="C67:C130" ca="1" si="1">TEXT(RANDBETWEEN(DATE(2024,1,1), DATE(2025,12,31)),"dd-mm-yyyy")</f>
        <v>03-08-2024</v>
      </c>
      <c r="D67" t="str" cm="1">
        <f t="array" ref="D67">_xlfn.IFS(Membership_Data!F67="Basic","5000",Membership_Data!F67="Standard","7500",Membership_Data!F67="Premium","10000")</f>
        <v>7500</v>
      </c>
      <c r="E67" t="str" cm="1">
        <f t="array" ref="E67">_xlfn.IFS(D67="5000","Cash",D67="7500","Debit Card",D67="10000","Credit Card")</f>
        <v>Debit Card</v>
      </c>
    </row>
    <row r="68" spans="1:5" x14ac:dyDescent="0.3">
      <c r="A68" t="s">
        <v>681</v>
      </c>
      <c r="B68" t="s">
        <v>84</v>
      </c>
      <c r="C68" t="str">
        <f t="shared" ca="1" si="1"/>
        <v>17-07-2024</v>
      </c>
      <c r="D68" t="str" cm="1">
        <f t="array" ref="D68">_xlfn.IFS(Membership_Data!F68="Basic","5000",Membership_Data!F68="Standard","7500",Membership_Data!F68="Premium","10000")</f>
        <v>5000</v>
      </c>
      <c r="E68" t="str" cm="1">
        <f t="array" ref="E68">_xlfn.IFS(D68="5000","Cash",D68="7500","Debit Card",D68="10000","Credit Card")</f>
        <v>Cash</v>
      </c>
    </row>
    <row r="69" spans="1:5" x14ac:dyDescent="0.3">
      <c r="A69" t="s">
        <v>682</v>
      </c>
      <c r="B69" t="s">
        <v>85</v>
      </c>
      <c r="C69" t="str">
        <f t="shared" ca="1" si="1"/>
        <v>09-12-2024</v>
      </c>
      <c r="D69" t="str" cm="1">
        <f t="array" ref="D69">_xlfn.IFS(Membership_Data!F69="Basic","5000",Membership_Data!F69="Standard","7500",Membership_Data!F69="Premium","10000")</f>
        <v>10000</v>
      </c>
      <c r="E69" t="str" cm="1">
        <f t="array" ref="E69">_xlfn.IFS(D69="5000","Cash",D69="7500","Debit Card",D69="10000","Credit Card")</f>
        <v>Credit Card</v>
      </c>
    </row>
    <row r="70" spans="1:5" x14ac:dyDescent="0.3">
      <c r="A70" t="s">
        <v>683</v>
      </c>
      <c r="B70" t="s">
        <v>86</v>
      </c>
      <c r="C70" t="str">
        <f t="shared" ca="1" si="1"/>
        <v>07-08-2025</v>
      </c>
      <c r="D70" t="str" cm="1">
        <f t="array" ref="D70">_xlfn.IFS(Membership_Data!F70="Basic","5000",Membership_Data!F70="Standard","7500",Membership_Data!F70="Premium","10000")</f>
        <v>7500</v>
      </c>
      <c r="E70" t="str" cm="1">
        <f t="array" ref="E70">_xlfn.IFS(D70="5000","Cash",D70="7500","Debit Card",D70="10000","Credit Card")</f>
        <v>Debit Card</v>
      </c>
    </row>
    <row r="71" spans="1:5" x14ac:dyDescent="0.3">
      <c r="A71" t="s">
        <v>684</v>
      </c>
      <c r="B71" t="s">
        <v>87</v>
      </c>
      <c r="C71" t="str">
        <f t="shared" ca="1" si="1"/>
        <v>08-02-2025</v>
      </c>
      <c r="D71" t="str" cm="1">
        <f t="array" ref="D71">_xlfn.IFS(Membership_Data!F71="Basic","5000",Membership_Data!F71="Standard","7500",Membership_Data!F71="Premium","10000")</f>
        <v>5000</v>
      </c>
      <c r="E71" t="str" cm="1">
        <f t="array" ref="E71">_xlfn.IFS(D71="5000","Cash",D71="7500","Debit Card",D71="10000","Credit Card")</f>
        <v>Cash</v>
      </c>
    </row>
    <row r="72" spans="1:5" x14ac:dyDescent="0.3">
      <c r="A72" t="s">
        <v>685</v>
      </c>
      <c r="B72" t="s">
        <v>88</v>
      </c>
      <c r="C72" t="str">
        <f t="shared" ca="1" si="1"/>
        <v>07-10-2025</v>
      </c>
      <c r="D72" t="str" cm="1">
        <f t="array" ref="D72">_xlfn.IFS(Membership_Data!F72="Basic","5000",Membership_Data!F72="Standard","7500",Membership_Data!F72="Premium","10000")</f>
        <v>10000</v>
      </c>
      <c r="E72" t="str" cm="1">
        <f t="array" ref="E72">_xlfn.IFS(D72="5000","Cash",D72="7500","Debit Card",D72="10000","Credit Card")</f>
        <v>Credit Card</v>
      </c>
    </row>
    <row r="73" spans="1:5" x14ac:dyDescent="0.3">
      <c r="A73" t="s">
        <v>686</v>
      </c>
      <c r="B73" t="s">
        <v>89</v>
      </c>
      <c r="C73" t="str">
        <f t="shared" ca="1" si="1"/>
        <v>27-03-2025</v>
      </c>
      <c r="D73" t="str" cm="1">
        <f t="array" ref="D73">_xlfn.IFS(Membership_Data!F73="Basic","5000",Membership_Data!F73="Standard","7500",Membership_Data!F73="Premium","10000")</f>
        <v>7500</v>
      </c>
      <c r="E73" t="str" cm="1">
        <f t="array" ref="E73">_xlfn.IFS(D73="5000","Cash",D73="7500","Debit Card",D73="10000","Credit Card")</f>
        <v>Debit Card</v>
      </c>
    </row>
    <row r="74" spans="1:5" x14ac:dyDescent="0.3">
      <c r="A74" t="s">
        <v>687</v>
      </c>
      <c r="B74" t="s">
        <v>90</v>
      </c>
      <c r="C74" t="str">
        <f t="shared" ca="1" si="1"/>
        <v>09-12-2024</v>
      </c>
      <c r="D74" t="str" cm="1">
        <f t="array" ref="D74">_xlfn.IFS(Membership_Data!F74="Basic","5000",Membership_Data!F74="Standard","7500",Membership_Data!F74="Premium","10000")</f>
        <v>5000</v>
      </c>
      <c r="E74" t="str" cm="1">
        <f t="array" ref="E74">_xlfn.IFS(D74="5000","Cash",D74="7500","Debit Card",D74="10000","Credit Card")</f>
        <v>Cash</v>
      </c>
    </row>
    <row r="75" spans="1:5" x14ac:dyDescent="0.3">
      <c r="A75" t="s">
        <v>688</v>
      </c>
      <c r="B75" t="s">
        <v>91</v>
      </c>
      <c r="C75" t="str">
        <f t="shared" ca="1" si="1"/>
        <v>18-12-2025</v>
      </c>
      <c r="D75" t="str" cm="1">
        <f t="array" ref="D75">_xlfn.IFS(Membership_Data!F75="Basic","5000",Membership_Data!F75="Standard","7500",Membership_Data!F75="Premium","10000")</f>
        <v>10000</v>
      </c>
      <c r="E75" t="str" cm="1">
        <f t="array" ref="E75">_xlfn.IFS(D75="5000","Cash",D75="7500","Debit Card",D75="10000","Credit Card")</f>
        <v>Credit Card</v>
      </c>
    </row>
    <row r="76" spans="1:5" x14ac:dyDescent="0.3">
      <c r="A76" t="s">
        <v>689</v>
      </c>
      <c r="B76" t="s">
        <v>92</v>
      </c>
      <c r="C76" t="str">
        <f t="shared" ca="1" si="1"/>
        <v>23-10-2025</v>
      </c>
      <c r="D76" t="str" cm="1">
        <f t="array" ref="D76">_xlfn.IFS(Membership_Data!F76="Basic","5000",Membership_Data!F76="Standard","7500",Membership_Data!F76="Premium","10000")</f>
        <v>7500</v>
      </c>
      <c r="E76" t="str" cm="1">
        <f t="array" ref="E76">_xlfn.IFS(D76="5000","Cash",D76="7500","Debit Card",D76="10000","Credit Card")</f>
        <v>Debit Card</v>
      </c>
    </row>
    <row r="77" spans="1:5" x14ac:dyDescent="0.3">
      <c r="A77" t="s">
        <v>690</v>
      </c>
      <c r="B77" t="s">
        <v>93</v>
      </c>
      <c r="C77" t="str">
        <f t="shared" ca="1" si="1"/>
        <v>30-07-2025</v>
      </c>
      <c r="D77" t="str" cm="1">
        <f t="array" ref="D77">_xlfn.IFS(Membership_Data!F77="Basic","5000",Membership_Data!F77="Standard","7500",Membership_Data!F77="Premium","10000")</f>
        <v>5000</v>
      </c>
      <c r="E77" t="str" cm="1">
        <f t="array" ref="E77">_xlfn.IFS(D77="5000","Cash",D77="7500","Debit Card",D77="10000","Credit Card")</f>
        <v>Cash</v>
      </c>
    </row>
    <row r="78" spans="1:5" x14ac:dyDescent="0.3">
      <c r="A78" t="s">
        <v>691</v>
      </c>
      <c r="B78" t="s">
        <v>94</v>
      </c>
      <c r="C78" t="str">
        <f t="shared" ca="1" si="1"/>
        <v>07-02-2025</v>
      </c>
      <c r="D78" t="str" cm="1">
        <f t="array" ref="D78">_xlfn.IFS(Membership_Data!F78="Basic","5000",Membership_Data!F78="Standard","7500",Membership_Data!F78="Premium","10000")</f>
        <v>10000</v>
      </c>
      <c r="E78" t="str" cm="1">
        <f t="array" ref="E78">_xlfn.IFS(D78="5000","Cash",D78="7500","Debit Card",D78="10000","Credit Card")</f>
        <v>Credit Card</v>
      </c>
    </row>
    <row r="79" spans="1:5" x14ac:dyDescent="0.3">
      <c r="A79" t="s">
        <v>692</v>
      </c>
      <c r="B79" t="s">
        <v>95</v>
      </c>
      <c r="C79" t="str">
        <f t="shared" ca="1" si="1"/>
        <v>10-12-2025</v>
      </c>
      <c r="D79" t="str" cm="1">
        <f t="array" ref="D79">_xlfn.IFS(Membership_Data!F79="Basic","5000",Membership_Data!F79="Standard","7500",Membership_Data!F79="Premium","10000")</f>
        <v>7500</v>
      </c>
      <c r="E79" t="str" cm="1">
        <f t="array" ref="E79">_xlfn.IFS(D79="5000","Cash",D79="7500","Debit Card",D79="10000","Credit Card")</f>
        <v>Debit Card</v>
      </c>
    </row>
    <row r="80" spans="1:5" x14ac:dyDescent="0.3">
      <c r="A80" t="s">
        <v>693</v>
      </c>
      <c r="B80" t="s">
        <v>96</v>
      </c>
      <c r="C80" t="str">
        <f t="shared" ca="1" si="1"/>
        <v>20-01-2024</v>
      </c>
      <c r="D80" t="str" cm="1">
        <f t="array" ref="D80">_xlfn.IFS(Membership_Data!F80="Basic","5000",Membership_Data!F80="Standard","7500",Membership_Data!F80="Premium","10000")</f>
        <v>5000</v>
      </c>
      <c r="E80" t="str" cm="1">
        <f t="array" ref="E80">_xlfn.IFS(D80="5000","Cash",D80="7500","Debit Card",D80="10000","Credit Card")</f>
        <v>Cash</v>
      </c>
    </row>
    <row r="81" spans="1:5" x14ac:dyDescent="0.3">
      <c r="A81" t="s">
        <v>694</v>
      </c>
      <c r="B81" t="s">
        <v>97</v>
      </c>
      <c r="C81" t="str">
        <f t="shared" ca="1" si="1"/>
        <v>26-06-2025</v>
      </c>
      <c r="D81" t="str" cm="1">
        <f t="array" ref="D81">_xlfn.IFS(Membership_Data!F81="Basic","5000",Membership_Data!F81="Standard","7500",Membership_Data!F81="Premium","10000")</f>
        <v>10000</v>
      </c>
      <c r="E81" t="str" cm="1">
        <f t="array" ref="E81">_xlfn.IFS(D81="5000","Cash",D81="7500","Debit Card",D81="10000","Credit Card")</f>
        <v>Credit Card</v>
      </c>
    </row>
    <row r="82" spans="1:5" x14ac:dyDescent="0.3">
      <c r="A82" t="s">
        <v>695</v>
      </c>
      <c r="B82" t="s">
        <v>98</v>
      </c>
      <c r="C82" t="str">
        <f t="shared" ca="1" si="1"/>
        <v>04-09-2025</v>
      </c>
      <c r="D82" t="str" cm="1">
        <f t="array" ref="D82">_xlfn.IFS(Membership_Data!F82="Basic","5000",Membership_Data!F82="Standard","7500",Membership_Data!F82="Premium","10000")</f>
        <v>7500</v>
      </c>
      <c r="E82" t="str" cm="1">
        <f t="array" ref="E82">_xlfn.IFS(D82="5000","Cash",D82="7500","Debit Card",D82="10000","Credit Card")</f>
        <v>Debit Card</v>
      </c>
    </row>
    <row r="83" spans="1:5" x14ac:dyDescent="0.3">
      <c r="A83" t="s">
        <v>696</v>
      </c>
      <c r="B83" t="s">
        <v>99</v>
      </c>
      <c r="C83" t="str">
        <f t="shared" ca="1" si="1"/>
        <v>29-04-2025</v>
      </c>
      <c r="D83" t="str" cm="1">
        <f t="array" ref="D83">_xlfn.IFS(Membership_Data!F83="Basic","5000",Membership_Data!F83="Standard","7500",Membership_Data!F83="Premium","10000")</f>
        <v>5000</v>
      </c>
      <c r="E83" t="str" cm="1">
        <f t="array" ref="E83">_xlfn.IFS(D83="5000","Cash",D83="7500","Debit Card",D83="10000","Credit Card")</f>
        <v>Cash</v>
      </c>
    </row>
    <row r="84" spans="1:5" x14ac:dyDescent="0.3">
      <c r="A84" t="s">
        <v>697</v>
      </c>
      <c r="B84" t="s">
        <v>100</v>
      </c>
      <c r="C84" t="str">
        <f t="shared" ca="1" si="1"/>
        <v>25-09-2025</v>
      </c>
      <c r="D84" t="str" cm="1">
        <f t="array" ref="D84">_xlfn.IFS(Membership_Data!F84="Basic","5000",Membership_Data!F84="Standard","7500",Membership_Data!F84="Premium","10000")</f>
        <v>10000</v>
      </c>
      <c r="E84" t="str" cm="1">
        <f t="array" ref="E84">_xlfn.IFS(D84="5000","Cash",D84="7500","Debit Card",D84="10000","Credit Card")</f>
        <v>Credit Card</v>
      </c>
    </row>
    <row r="85" spans="1:5" x14ac:dyDescent="0.3">
      <c r="A85" t="s">
        <v>698</v>
      </c>
      <c r="B85" t="s">
        <v>101</v>
      </c>
      <c r="C85" t="str">
        <f t="shared" ca="1" si="1"/>
        <v>06-01-2025</v>
      </c>
      <c r="D85" t="str" cm="1">
        <f t="array" ref="D85">_xlfn.IFS(Membership_Data!F85="Basic","5000",Membership_Data!F85="Standard","7500",Membership_Data!F85="Premium","10000")</f>
        <v>7500</v>
      </c>
      <c r="E85" t="str" cm="1">
        <f t="array" ref="E85">_xlfn.IFS(D85="5000","Cash",D85="7500","Debit Card",D85="10000","Credit Card")</f>
        <v>Debit Card</v>
      </c>
    </row>
    <row r="86" spans="1:5" x14ac:dyDescent="0.3">
      <c r="A86" t="s">
        <v>699</v>
      </c>
      <c r="B86" t="s">
        <v>102</v>
      </c>
      <c r="C86" t="str">
        <f t="shared" ca="1" si="1"/>
        <v>16-11-2024</v>
      </c>
      <c r="D86" t="str" cm="1">
        <f t="array" ref="D86">_xlfn.IFS(Membership_Data!F86="Basic","5000",Membership_Data!F86="Standard","7500",Membership_Data!F86="Premium","10000")</f>
        <v>5000</v>
      </c>
      <c r="E86" t="str" cm="1">
        <f t="array" ref="E86">_xlfn.IFS(D86="5000","Cash",D86="7500","Debit Card",D86="10000","Credit Card")</f>
        <v>Cash</v>
      </c>
    </row>
    <row r="87" spans="1:5" x14ac:dyDescent="0.3">
      <c r="A87" t="s">
        <v>700</v>
      </c>
      <c r="B87" t="s">
        <v>103</v>
      </c>
      <c r="C87" t="str">
        <f t="shared" ca="1" si="1"/>
        <v>30-11-2025</v>
      </c>
      <c r="D87" t="str" cm="1">
        <f t="array" ref="D87">_xlfn.IFS(Membership_Data!F87="Basic","5000",Membership_Data!F87="Standard","7500",Membership_Data!F87="Premium","10000")</f>
        <v>10000</v>
      </c>
      <c r="E87" t="str" cm="1">
        <f t="array" ref="E87">_xlfn.IFS(D87="5000","Cash",D87="7500","Debit Card",D87="10000","Credit Card")</f>
        <v>Credit Card</v>
      </c>
    </row>
    <row r="88" spans="1:5" x14ac:dyDescent="0.3">
      <c r="A88" t="s">
        <v>701</v>
      </c>
      <c r="B88" t="s">
        <v>104</v>
      </c>
      <c r="C88" t="str">
        <f t="shared" ca="1" si="1"/>
        <v>12-03-2025</v>
      </c>
      <c r="D88" t="str" cm="1">
        <f t="array" ref="D88">_xlfn.IFS(Membership_Data!F88="Basic","5000",Membership_Data!F88="Standard","7500",Membership_Data!F88="Premium","10000")</f>
        <v>7500</v>
      </c>
      <c r="E88" t="str" cm="1">
        <f t="array" ref="E88">_xlfn.IFS(D88="5000","Cash",D88="7500","Debit Card",D88="10000","Credit Card")</f>
        <v>Debit Card</v>
      </c>
    </row>
    <row r="89" spans="1:5" x14ac:dyDescent="0.3">
      <c r="A89" t="s">
        <v>702</v>
      </c>
      <c r="B89" t="s">
        <v>105</v>
      </c>
      <c r="C89" t="str">
        <f t="shared" ca="1" si="1"/>
        <v>03-04-2024</v>
      </c>
      <c r="D89" t="str" cm="1">
        <f t="array" ref="D89">_xlfn.IFS(Membership_Data!F89="Basic","5000",Membership_Data!F89="Standard","7500",Membership_Data!F89="Premium","10000")</f>
        <v>5000</v>
      </c>
      <c r="E89" t="str" cm="1">
        <f t="array" ref="E89">_xlfn.IFS(D89="5000","Cash",D89="7500","Debit Card",D89="10000","Credit Card")</f>
        <v>Cash</v>
      </c>
    </row>
    <row r="90" spans="1:5" x14ac:dyDescent="0.3">
      <c r="A90" t="s">
        <v>703</v>
      </c>
      <c r="B90" t="s">
        <v>106</v>
      </c>
      <c r="C90" t="str">
        <f t="shared" ca="1" si="1"/>
        <v>06-05-2024</v>
      </c>
      <c r="D90" t="str" cm="1">
        <f t="array" ref="D90">_xlfn.IFS(Membership_Data!F90="Basic","5000",Membership_Data!F90="Standard","7500",Membership_Data!F90="Premium","10000")</f>
        <v>10000</v>
      </c>
      <c r="E90" t="str" cm="1">
        <f t="array" ref="E90">_xlfn.IFS(D90="5000","Cash",D90="7500","Debit Card",D90="10000","Credit Card")</f>
        <v>Credit Card</v>
      </c>
    </row>
    <row r="91" spans="1:5" x14ac:dyDescent="0.3">
      <c r="A91" t="s">
        <v>704</v>
      </c>
      <c r="B91" t="s">
        <v>107</v>
      </c>
      <c r="C91" t="str">
        <f t="shared" ca="1" si="1"/>
        <v>19-01-2024</v>
      </c>
      <c r="D91" t="str" cm="1">
        <f t="array" ref="D91">_xlfn.IFS(Membership_Data!F91="Basic","5000",Membership_Data!F91="Standard","7500",Membership_Data!F91="Premium","10000")</f>
        <v>7500</v>
      </c>
      <c r="E91" t="str" cm="1">
        <f t="array" ref="E91">_xlfn.IFS(D91="5000","Cash",D91="7500","Debit Card",D91="10000","Credit Card")</f>
        <v>Debit Card</v>
      </c>
    </row>
    <row r="92" spans="1:5" x14ac:dyDescent="0.3">
      <c r="A92" t="s">
        <v>705</v>
      </c>
      <c r="B92" t="s">
        <v>108</v>
      </c>
      <c r="C92" t="str">
        <f t="shared" ca="1" si="1"/>
        <v>02-02-2025</v>
      </c>
      <c r="D92" t="str" cm="1">
        <f t="array" ref="D92">_xlfn.IFS(Membership_Data!F92="Basic","5000",Membership_Data!F92="Standard","7500",Membership_Data!F92="Premium","10000")</f>
        <v>5000</v>
      </c>
      <c r="E92" t="str" cm="1">
        <f t="array" ref="E92">_xlfn.IFS(D92="5000","Cash",D92="7500","Debit Card",D92="10000","Credit Card")</f>
        <v>Cash</v>
      </c>
    </row>
    <row r="93" spans="1:5" x14ac:dyDescent="0.3">
      <c r="A93" t="s">
        <v>706</v>
      </c>
      <c r="B93" t="s">
        <v>109</v>
      </c>
      <c r="C93" t="str">
        <f t="shared" ca="1" si="1"/>
        <v>23-08-2025</v>
      </c>
      <c r="D93" t="str" cm="1">
        <f t="array" ref="D93">_xlfn.IFS(Membership_Data!F93="Basic","5000",Membership_Data!F93="Standard","7500",Membership_Data!F93="Premium","10000")</f>
        <v>10000</v>
      </c>
      <c r="E93" t="str" cm="1">
        <f t="array" ref="E93">_xlfn.IFS(D93="5000","Cash",D93="7500","Debit Card",D93="10000","Credit Card")</f>
        <v>Credit Card</v>
      </c>
    </row>
    <row r="94" spans="1:5" x14ac:dyDescent="0.3">
      <c r="A94" t="s">
        <v>707</v>
      </c>
      <c r="B94" t="s">
        <v>110</v>
      </c>
      <c r="C94" t="str">
        <f t="shared" ca="1" si="1"/>
        <v>03-11-2024</v>
      </c>
      <c r="D94" t="str" cm="1">
        <f t="array" ref="D94">_xlfn.IFS(Membership_Data!F94="Basic","5000",Membership_Data!F94="Standard","7500",Membership_Data!F94="Premium","10000")</f>
        <v>7500</v>
      </c>
      <c r="E94" t="str" cm="1">
        <f t="array" ref="E94">_xlfn.IFS(D94="5000","Cash",D94="7500","Debit Card",D94="10000","Credit Card")</f>
        <v>Debit Card</v>
      </c>
    </row>
    <row r="95" spans="1:5" x14ac:dyDescent="0.3">
      <c r="A95" t="s">
        <v>708</v>
      </c>
      <c r="B95" t="s">
        <v>111</v>
      </c>
      <c r="C95" t="str">
        <f t="shared" ca="1" si="1"/>
        <v>11-10-2024</v>
      </c>
      <c r="D95" t="str" cm="1">
        <f t="array" ref="D95">_xlfn.IFS(Membership_Data!F95="Basic","5000",Membership_Data!F95="Standard","7500",Membership_Data!F95="Premium","10000")</f>
        <v>5000</v>
      </c>
      <c r="E95" t="str" cm="1">
        <f t="array" ref="E95">_xlfn.IFS(D95="5000","Cash",D95="7500","Debit Card",D95="10000","Credit Card")</f>
        <v>Cash</v>
      </c>
    </row>
    <row r="96" spans="1:5" x14ac:dyDescent="0.3">
      <c r="A96" t="s">
        <v>709</v>
      </c>
      <c r="B96" t="s">
        <v>112</v>
      </c>
      <c r="C96" t="str">
        <f t="shared" ca="1" si="1"/>
        <v>29-05-2024</v>
      </c>
      <c r="D96" t="str" cm="1">
        <f t="array" ref="D96">_xlfn.IFS(Membership_Data!F96="Basic","5000",Membership_Data!F96="Standard","7500",Membership_Data!F96="Premium","10000")</f>
        <v>10000</v>
      </c>
      <c r="E96" t="str" cm="1">
        <f t="array" ref="E96">_xlfn.IFS(D96="5000","Cash",D96="7500","Debit Card",D96="10000","Credit Card")</f>
        <v>Credit Card</v>
      </c>
    </row>
    <row r="97" spans="1:5" x14ac:dyDescent="0.3">
      <c r="A97" t="s">
        <v>710</v>
      </c>
      <c r="B97" t="s">
        <v>113</v>
      </c>
      <c r="C97" t="str">
        <f t="shared" ca="1" si="1"/>
        <v>26-05-2024</v>
      </c>
      <c r="D97" t="str" cm="1">
        <f t="array" ref="D97">_xlfn.IFS(Membership_Data!F97="Basic","5000",Membership_Data!F97="Standard","7500",Membership_Data!F97="Premium","10000")</f>
        <v>7500</v>
      </c>
      <c r="E97" t="str" cm="1">
        <f t="array" ref="E97">_xlfn.IFS(D97="5000","Cash",D97="7500","Debit Card",D97="10000","Credit Card")</f>
        <v>Debit Card</v>
      </c>
    </row>
    <row r="98" spans="1:5" x14ac:dyDescent="0.3">
      <c r="A98" t="s">
        <v>711</v>
      </c>
      <c r="B98" t="s">
        <v>114</v>
      </c>
      <c r="C98" t="str">
        <f t="shared" ca="1" si="1"/>
        <v>26-01-2024</v>
      </c>
      <c r="D98" t="str" cm="1">
        <f t="array" ref="D98">_xlfn.IFS(Membership_Data!F98="Basic","5000",Membership_Data!F98="Standard","7500",Membership_Data!F98="Premium","10000")</f>
        <v>5000</v>
      </c>
      <c r="E98" t="str" cm="1">
        <f t="array" ref="E98">_xlfn.IFS(D98="5000","Cash",D98="7500","Debit Card",D98="10000","Credit Card")</f>
        <v>Cash</v>
      </c>
    </row>
    <row r="99" spans="1:5" x14ac:dyDescent="0.3">
      <c r="A99" t="s">
        <v>712</v>
      </c>
      <c r="B99" t="s">
        <v>115</v>
      </c>
      <c r="C99" t="str">
        <f t="shared" ca="1" si="1"/>
        <v>27-01-2025</v>
      </c>
      <c r="D99" t="str" cm="1">
        <f t="array" ref="D99">_xlfn.IFS(Membership_Data!F99="Basic","5000",Membership_Data!F99="Standard","7500",Membership_Data!F99="Premium","10000")</f>
        <v>10000</v>
      </c>
      <c r="E99" t="str" cm="1">
        <f t="array" ref="E99">_xlfn.IFS(D99="5000","Cash",D99="7500","Debit Card",D99="10000","Credit Card")</f>
        <v>Credit Card</v>
      </c>
    </row>
    <row r="100" spans="1:5" x14ac:dyDescent="0.3">
      <c r="A100" t="s">
        <v>713</v>
      </c>
      <c r="B100" t="s">
        <v>116</v>
      </c>
      <c r="C100" t="str">
        <f t="shared" ca="1" si="1"/>
        <v>28-06-2024</v>
      </c>
      <c r="D100" t="str" cm="1">
        <f t="array" ref="D100">_xlfn.IFS(Membership_Data!F100="Basic","5000",Membership_Data!F100="Standard","7500",Membership_Data!F100="Premium","10000")</f>
        <v>7500</v>
      </c>
      <c r="E100" t="str" cm="1">
        <f t="array" ref="E100">_xlfn.IFS(D100="5000","Cash",D100="7500","Debit Card",D100="10000","Credit Card")</f>
        <v>Debit Card</v>
      </c>
    </row>
    <row r="101" spans="1:5" x14ac:dyDescent="0.3">
      <c r="A101" t="s">
        <v>714</v>
      </c>
      <c r="B101" t="s">
        <v>117</v>
      </c>
      <c r="C101" t="str">
        <f t="shared" ca="1" si="1"/>
        <v>22-07-2025</v>
      </c>
      <c r="D101" t="str" cm="1">
        <f t="array" ref="D101">_xlfn.IFS(Membership_Data!F101="Basic","5000",Membership_Data!F101="Standard","7500",Membership_Data!F101="Premium","10000")</f>
        <v>5000</v>
      </c>
      <c r="E101" t="str" cm="1">
        <f t="array" ref="E101">_xlfn.IFS(D101="5000","Cash",D101="7500","Debit Card",D101="10000","Credit Card")</f>
        <v>Cash</v>
      </c>
    </row>
    <row r="102" spans="1:5" x14ac:dyDescent="0.3">
      <c r="A102" t="s">
        <v>715</v>
      </c>
      <c r="B102" t="s">
        <v>118</v>
      </c>
      <c r="C102" t="str">
        <f t="shared" ca="1" si="1"/>
        <v>11-01-2024</v>
      </c>
      <c r="D102" t="str" cm="1">
        <f t="array" ref="D102">_xlfn.IFS(Membership_Data!F102="Basic","5000",Membership_Data!F102="Standard","7500",Membership_Data!F102="Premium","10000")</f>
        <v>10000</v>
      </c>
      <c r="E102" t="str" cm="1">
        <f t="array" ref="E102">_xlfn.IFS(D102="5000","Cash",D102="7500","Debit Card",D102="10000","Credit Card")</f>
        <v>Credit Card</v>
      </c>
    </row>
    <row r="103" spans="1:5" x14ac:dyDescent="0.3">
      <c r="A103" t="s">
        <v>716</v>
      </c>
      <c r="B103" t="s">
        <v>119</v>
      </c>
      <c r="C103" t="str">
        <f t="shared" ca="1" si="1"/>
        <v>15-02-2025</v>
      </c>
      <c r="D103" t="str" cm="1">
        <f t="array" ref="D103">_xlfn.IFS(Membership_Data!F103="Basic","5000",Membership_Data!F103="Standard","7500",Membership_Data!F103="Premium","10000")</f>
        <v>7500</v>
      </c>
      <c r="E103" t="str" cm="1">
        <f t="array" ref="E103">_xlfn.IFS(D103="5000","Cash",D103="7500","Debit Card",D103="10000","Credit Card")</f>
        <v>Debit Card</v>
      </c>
    </row>
    <row r="104" spans="1:5" x14ac:dyDescent="0.3">
      <c r="A104" t="s">
        <v>717</v>
      </c>
      <c r="B104" t="s">
        <v>120</v>
      </c>
      <c r="C104" t="str">
        <f t="shared" ca="1" si="1"/>
        <v>10-04-2024</v>
      </c>
      <c r="D104" t="str" cm="1">
        <f t="array" ref="D104">_xlfn.IFS(Membership_Data!F104="Basic","5000",Membership_Data!F104="Standard","7500",Membership_Data!F104="Premium","10000")</f>
        <v>5000</v>
      </c>
      <c r="E104" t="str" cm="1">
        <f t="array" ref="E104">_xlfn.IFS(D104="5000","Cash",D104="7500","Debit Card",D104="10000","Credit Card")</f>
        <v>Cash</v>
      </c>
    </row>
    <row r="105" spans="1:5" x14ac:dyDescent="0.3">
      <c r="A105" t="s">
        <v>718</v>
      </c>
      <c r="B105" t="s">
        <v>121</v>
      </c>
      <c r="C105" t="str">
        <f t="shared" ca="1" si="1"/>
        <v>23-07-2024</v>
      </c>
      <c r="D105" t="str" cm="1">
        <f t="array" ref="D105">_xlfn.IFS(Membership_Data!F105="Basic","5000",Membership_Data!F105="Standard","7500",Membership_Data!F105="Premium","10000")</f>
        <v>10000</v>
      </c>
      <c r="E105" t="str" cm="1">
        <f t="array" ref="E105">_xlfn.IFS(D105="5000","Cash",D105="7500","Debit Card",D105="10000","Credit Card")</f>
        <v>Credit Card</v>
      </c>
    </row>
    <row r="106" spans="1:5" x14ac:dyDescent="0.3">
      <c r="A106" t="s">
        <v>719</v>
      </c>
      <c r="B106" t="s">
        <v>122</v>
      </c>
      <c r="C106" t="str">
        <f t="shared" ca="1" si="1"/>
        <v>06-08-2024</v>
      </c>
      <c r="D106" t="str" cm="1">
        <f t="array" ref="D106">_xlfn.IFS(Membership_Data!F106="Basic","5000",Membership_Data!F106="Standard","7500",Membership_Data!F106="Premium","10000")</f>
        <v>7500</v>
      </c>
      <c r="E106" t="str" cm="1">
        <f t="array" ref="E106">_xlfn.IFS(D106="5000","Cash",D106="7500","Debit Card",D106="10000","Credit Card")</f>
        <v>Debit Card</v>
      </c>
    </row>
    <row r="107" spans="1:5" x14ac:dyDescent="0.3">
      <c r="A107" t="s">
        <v>720</v>
      </c>
      <c r="B107" t="s">
        <v>123</v>
      </c>
      <c r="C107" t="str">
        <f t="shared" ca="1" si="1"/>
        <v>30-03-2025</v>
      </c>
      <c r="D107" t="str" cm="1">
        <f t="array" ref="D107">_xlfn.IFS(Membership_Data!F107="Basic","5000",Membership_Data!F107="Standard","7500",Membership_Data!F107="Premium","10000")</f>
        <v>5000</v>
      </c>
      <c r="E107" t="str" cm="1">
        <f t="array" ref="E107">_xlfn.IFS(D107="5000","Cash",D107="7500","Debit Card",D107="10000","Credit Card")</f>
        <v>Cash</v>
      </c>
    </row>
    <row r="108" spans="1:5" x14ac:dyDescent="0.3">
      <c r="A108" t="s">
        <v>721</v>
      </c>
      <c r="B108" t="s">
        <v>124</v>
      </c>
      <c r="C108" t="str">
        <f t="shared" ca="1" si="1"/>
        <v>14-05-2024</v>
      </c>
      <c r="D108" t="str" cm="1">
        <f t="array" ref="D108">_xlfn.IFS(Membership_Data!F108="Basic","5000",Membership_Data!F108="Standard","7500",Membership_Data!F108="Premium","10000")</f>
        <v>10000</v>
      </c>
      <c r="E108" t="str" cm="1">
        <f t="array" ref="E108">_xlfn.IFS(D108="5000","Cash",D108="7500","Debit Card",D108="10000","Credit Card")</f>
        <v>Credit Card</v>
      </c>
    </row>
    <row r="109" spans="1:5" x14ac:dyDescent="0.3">
      <c r="A109" t="s">
        <v>722</v>
      </c>
      <c r="B109" t="s">
        <v>125</v>
      </c>
      <c r="C109" t="str">
        <f t="shared" ca="1" si="1"/>
        <v>08-09-2025</v>
      </c>
      <c r="D109" t="str" cm="1">
        <f t="array" ref="D109">_xlfn.IFS(Membership_Data!F109="Basic","5000",Membership_Data!F109="Standard","7500",Membership_Data!F109="Premium","10000")</f>
        <v>7500</v>
      </c>
      <c r="E109" t="str" cm="1">
        <f t="array" ref="E109">_xlfn.IFS(D109="5000","Cash",D109="7500","Debit Card",D109="10000","Credit Card")</f>
        <v>Debit Card</v>
      </c>
    </row>
    <row r="110" spans="1:5" x14ac:dyDescent="0.3">
      <c r="A110" t="s">
        <v>723</v>
      </c>
      <c r="B110" t="s">
        <v>126</v>
      </c>
      <c r="C110" t="str">
        <f t="shared" ca="1" si="1"/>
        <v>14-04-2024</v>
      </c>
      <c r="D110" t="str" cm="1">
        <f t="array" ref="D110">_xlfn.IFS(Membership_Data!F110="Basic","5000",Membership_Data!F110="Standard","7500",Membership_Data!F110="Premium","10000")</f>
        <v>5000</v>
      </c>
      <c r="E110" t="str" cm="1">
        <f t="array" ref="E110">_xlfn.IFS(D110="5000","Cash",D110="7500","Debit Card",D110="10000","Credit Card")</f>
        <v>Cash</v>
      </c>
    </row>
    <row r="111" spans="1:5" x14ac:dyDescent="0.3">
      <c r="A111" t="s">
        <v>724</v>
      </c>
      <c r="B111" t="s">
        <v>127</v>
      </c>
      <c r="C111" t="str">
        <f t="shared" ca="1" si="1"/>
        <v>15-09-2025</v>
      </c>
      <c r="D111" t="str" cm="1">
        <f t="array" ref="D111">_xlfn.IFS(Membership_Data!F111="Basic","5000",Membership_Data!F111="Standard","7500",Membership_Data!F111="Premium","10000")</f>
        <v>10000</v>
      </c>
      <c r="E111" t="str" cm="1">
        <f t="array" ref="E111">_xlfn.IFS(D111="5000","Cash",D111="7500","Debit Card",D111="10000","Credit Card")</f>
        <v>Credit Card</v>
      </c>
    </row>
    <row r="112" spans="1:5" x14ac:dyDescent="0.3">
      <c r="A112" t="s">
        <v>725</v>
      </c>
      <c r="B112" t="s">
        <v>128</v>
      </c>
      <c r="C112" t="str">
        <f t="shared" ca="1" si="1"/>
        <v>08-03-2024</v>
      </c>
      <c r="D112" t="str" cm="1">
        <f t="array" ref="D112">_xlfn.IFS(Membership_Data!F112="Basic","5000",Membership_Data!F112="Standard","7500",Membership_Data!F112="Premium","10000")</f>
        <v>7500</v>
      </c>
      <c r="E112" t="str" cm="1">
        <f t="array" ref="E112">_xlfn.IFS(D112="5000","Cash",D112="7500","Debit Card",D112="10000","Credit Card")</f>
        <v>Debit Card</v>
      </c>
    </row>
    <row r="113" spans="1:5" x14ac:dyDescent="0.3">
      <c r="A113" t="s">
        <v>726</v>
      </c>
      <c r="B113" t="s">
        <v>129</v>
      </c>
      <c r="C113" t="str">
        <f t="shared" ca="1" si="1"/>
        <v>20-05-2025</v>
      </c>
      <c r="D113" t="str" cm="1">
        <f t="array" ref="D113">_xlfn.IFS(Membership_Data!F113="Basic","5000",Membership_Data!F113="Standard","7500",Membership_Data!F113="Premium","10000")</f>
        <v>5000</v>
      </c>
      <c r="E113" t="str" cm="1">
        <f t="array" ref="E113">_xlfn.IFS(D113="5000","Cash",D113="7500","Debit Card",D113="10000","Credit Card")</f>
        <v>Cash</v>
      </c>
    </row>
    <row r="114" spans="1:5" x14ac:dyDescent="0.3">
      <c r="A114" t="s">
        <v>727</v>
      </c>
      <c r="B114" t="s">
        <v>130</v>
      </c>
      <c r="C114" t="str">
        <f t="shared" ca="1" si="1"/>
        <v>08-01-2025</v>
      </c>
      <c r="D114" t="str" cm="1">
        <f t="array" ref="D114">_xlfn.IFS(Membership_Data!F114="Basic","5000",Membership_Data!F114="Standard","7500",Membership_Data!F114="Premium","10000")</f>
        <v>10000</v>
      </c>
      <c r="E114" t="str" cm="1">
        <f t="array" ref="E114">_xlfn.IFS(D114="5000","Cash",D114="7500","Debit Card",D114="10000","Credit Card")</f>
        <v>Credit Card</v>
      </c>
    </row>
    <row r="115" spans="1:5" x14ac:dyDescent="0.3">
      <c r="A115" t="s">
        <v>728</v>
      </c>
      <c r="B115" t="s">
        <v>131</v>
      </c>
      <c r="C115" t="str">
        <f t="shared" ca="1" si="1"/>
        <v>01-08-2024</v>
      </c>
      <c r="D115" t="str" cm="1">
        <f t="array" ref="D115">_xlfn.IFS(Membership_Data!F115="Basic","5000",Membership_Data!F115="Standard","7500",Membership_Data!F115="Premium","10000")</f>
        <v>7500</v>
      </c>
      <c r="E115" t="str" cm="1">
        <f t="array" ref="E115">_xlfn.IFS(D115="5000","Cash",D115="7500","Debit Card",D115="10000","Credit Card")</f>
        <v>Debit Card</v>
      </c>
    </row>
    <row r="116" spans="1:5" x14ac:dyDescent="0.3">
      <c r="A116" t="s">
        <v>729</v>
      </c>
      <c r="B116" t="s">
        <v>132</v>
      </c>
      <c r="C116" t="str">
        <f t="shared" ca="1" si="1"/>
        <v>20-12-2024</v>
      </c>
      <c r="D116" t="str" cm="1">
        <f t="array" ref="D116">_xlfn.IFS(Membership_Data!F116="Basic","5000",Membership_Data!F116="Standard","7500",Membership_Data!F116="Premium","10000")</f>
        <v>5000</v>
      </c>
      <c r="E116" t="str" cm="1">
        <f t="array" ref="E116">_xlfn.IFS(D116="5000","Cash",D116="7500","Debit Card",D116="10000","Credit Card")</f>
        <v>Cash</v>
      </c>
    </row>
    <row r="117" spans="1:5" x14ac:dyDescent="0.3">
      <c r="A117" t="s">
        <v>730</v>
      </c>
      <c r="B117" t="s">
        <v>133</v>
      </c>
      <c r="C117" t="str">
        <f t="shared" ca="1" si="1"/>
        <v>06-04-2024</v>
      </c>
      <c r="D117" t="str" cm="1">
        <f t="array" ref="D117">_xlfn.IFS(Membership_Data!F117="Basic","5000",Membership_Data!F117="Standard","7500",Membership_Data!F117="Premium","10000")</f>
        <v>10000</v>
      </c>
      <c r="E117" t="str" cm="1">
        <f t="array" ref="E117">_xlfn.IFS(D117="5000","Cash",D117="7500","Debit Card",D117="10000","Credit Card")</f>
        <v>Credit Card</v>
      </c>
    </row>
    <row r="118" spans="1:5" x14ac:dyDescent="0.3">
      <c r="A118" t="s">
        <v>731</v>
      </c>
      <c r="B118" t="s">
        <v>134</v>
      </c>
      <c r="C118" t="str">
        <f t="shared" ca="1" si="1"/>
        <v>07-08-2025</v>
      </c>
      <c r="D118" t="str" cm="1">
        <f t="array" ref="D118">_xlfn.IFS(Membership_Data!F118="Basic","5000",Membership_Data!F118="Standard","7500",Membership_Data!F118="Premium","10000")</f>
        <v>7500</v>
      </c>
      <c r="E118" t="str" cm="1">
        <f t="array" ref="E118">_xlfn.IFS(D118="5000","Cash",D118="7500","Debit Card",D118="10000","Credit Card")</f>
        <v>Debit Card</v>
      </c>
    </row>
    <row r="119" spans="1:5" x14ac:dyDescent="0.3">
      <c r="A119" t="s">
        <v>732</v>
      </c>
      <c r="B119" t="s">
        <v>135</v>
      </c>
      <c r="C119" t="str">
        <f t="shared" ca="1" si="1"/>
        <v>12-02-2025</v>
      </c>
      <c r="D119" t="str" cm="1">
        <f t="array" ref="D119">_xlfn.IFS(Membership_Data!F119="Basic","5000",Membership_Data!F119="Standard","7500",Membership_Data!F119="Premium","10000")</f>
        <v>5000</v>
      </c>
      <c r="E119" t="str" cm="1">
        <f t="array" ref="E119">_xlfn.IFS(D119="5000","Cash",D119="7500","Debit Card",D119="10000","Credit Card")</f>
        <v>Cash</v>
      </c>
    </row>
    <row r="120" spans="1:5" x14ac:dyDescent="0.3">
      <c r="A120" t="s">
        <v>733</v>
      </c>
      <c r="B120" t="s">
        <v>136</v>
      </c>
      <c r="C120" t="str">
        <f t="shared" ca="1" si="1"/>
        <v>27-07-2024</v>
      </c>
      <c r="D120" t="str" cm="1">
        <f t="array" ref="D120">_xlfn.IFS(Membership_Data!F120="Basic","5000",Membership_Data!F120="Standard","7500",Membership_Data!F120="Premium","10000")</f>
        <v>10000</v>
      </c>
      <c r="E120" t="str" cm="1">
        <f t="array" ref="E120">_xlfn.IFS(D120="5000","Cash",D120="7500","Debit Card",D120="10000","Credit Card")</f>
        <v>Credit Card</v>
      </c>
    </row>
    <row r="121" spans="1:5" x14ac:dyDescent="0.3">
      <c r="A121" t="s">
        <v>734</v>
      </c>
      <c r="B121" t="s">
        <v>137</v>
      </c>
      <c r="C121" t="str">
        <f t="shared" ca="1" si="1"/>
        <v>21-05-2024</v>
      </c>
      <c r="D121" t="str" cm="1">
        <f t="array" ref="D121">_xlfn.IFS(Membership_Data!F121="Basic","5000",Membership_Data!F121="Standard","7500",Membership_Data!F121="Premium","10000")</f>
        <v>7500</v>
      </c>
      <c r="E121" t="str" cm="1">
        <f t="array" ref="E121">_xlfn.IFS(D121="5000","Cash",D121="7500","Debit Card",D121="10000","Credit Card")</f>
        <v>Debit Card</v>
      </c>
    </row>
    <row r="122" spans="1:5" x14ac:dyDescent="0.3">
      <c r="A122" t="s">
        <v>735</v>
      </c>
      <c r="B122" t="s">
        <v>138</v>
      </c>
      <c r="C122" t="str">
        <f t="shared" ca="1" si="1"/>
        <v>02-05-2025</v>
      </c>
      <c r="D122" t="str" cm="1">
        <f t="array" ref="D122">_xlfn.IFS(Membership_Data!F122="Basic","5000",Membership_Data!F122="Standard","7500",Membership_Data!F122="Premium","10000")</f>
        <v>5000</v>
      </c>
      <c r="E122" t="str" cm="1">
        <f t="array" ref="E122">_xlfn.IFS(D122="5000","Cash",D122="7500","Debit Card",D122="10000","Credit Card")</f>
        <v>Cash</v>
      </c>
    </row>
    <row r="123" spans="1:5" x14ac:dyDescent="0.3">
      <c r="A123" t="s">
        <v>736</v>
      </c>
      <c r="B123" t="s">
        <v>139</v>
      </c>
      <c r="C123" t="str">
        <f t="shared" ca="1" si="1"/>
        <v>05-04-2025</v>
      </c>
      <c r="D123" t="str" cm="1">
        <f t="array" ref="D123">_xlfn.IFS(Membership_Data!F123="Basic","5000",Membership_Data!F123="Standard","7500",Membership_Data!F123="Premium","10000")</f>
        <v>10000</v>
      </c>
      <c r="E123" t="str" cm="1">
        <f t="array" ref="E123">_xlfn.IFS(D123="5000","Cash",D123="7500","Debit Card",D123="10000","Credit Card")</f>
        <v>Credit Card</v>
      </c>
    </row>
    <row r="124" spans="1:5" x14ac:dyDescent="0.3">
      <c r="A124" t="s">
        <v>737</v>
      </c>
      <c r="B124" t="s">
        <v>140</v>
      </c>
      <c r="C124" t="str">
        <f t="shared" ca="1" si="1"/>
        <v>18-11-2025</v>
      </c>
      <c r="D124" t="str" cm="1">
        <f t="array" ref="D124">_xlfn.IFS(Membership_Data!F124="Basic","5000",Membership_Data!F124="Standard","7500",Membership_Data!F124="Premium","10000")</f>
        <v>7500</v>
      </c>
      <c r="E124" t="str" cm="1">
        <f t="array" ref="E124">_xlfn.IFS(D124="5000","Cash",D124="7500","Debit Card",D124="10000","Credit Card")</f>
        <v>Debit Card</v>
      </c>
    </row>
    <row r="125" spans="1:5" x14ac:dyDescent="0.3">
      <c r="A125" t="s">
        <v>738</v>
      </c>
      <c r="B125" t="s">
        <v>141</v>
      </c>
      <c r="C125" t="str">
        <f t="shared" ca="1" si="1"/>
        <v>07-11-2025</v>
      </c>
      <c r="D125" t="str" cm="1">
        <f t="array" ref="D125">_xlfn.IFS(Membership_Data!F125="Basic","5000",Membership_Data!F125="Standard","7500",Membership_Data!F125="Premium","10000")</f>
        <v>5000</v>
      </c>
      <c r="E125" t="str" cm="1">
        <f t="array" ref="E125">_xlfn.IFS(D125="5000","Cash",D125="7500","Debit Card",D125="10000","Credit Card")</f>
        <v>Cash</v>
      </c>
    </row>
    <row r="126" spans="1:5" x14ac:dyDescent="0.3">
      <c r="A126" t="s">
        <v>739</v>
      </c>
      <c r="B126" t="s">
        <v>142</v>
      </c>
      <c r="C126" t="str">
        <f t="shared" ca="1" si="1"/>
        <v>29-04-2024</v>
      </c>
      <c r="D126" t="str" cm="1">
        <f t="array" ref="D126">_xlfn.IFS(Membership_Data!F126="Basic","5000",Membership_Data!F126="Standard","7500",Membership_Data!F126="Premium","10000")</f>
        <v>10000</v>
      </c>
      <c r="E126" t="str" cm="1">
        <f t="array" ref="E126">_xlfn.IFS(D126="5000","Cash",D126="7500","Debit Card",D126="10000","Credit Card")</f>
        <v>Credit Card</v>
      </c>
    </row>
    <row r="127" spans="1:5" x14ac:dyDescent="0.3">
      <c r="A127" t="s">
        <v>740</v>
      </c>
      <c r="B127" t="s">
        <v>143</v>
      </c>
      <c r="C127" t="str">
        <f t="shared" ca="1" si="1"/>
        <v>06-07-2025</v>
      </c>
      <c r="D127" t="str" cm="1">
        <f t="array" ref="D127">_xlfn.IFS(Membership_Data!F127="Basic","5000",Membership_Data!F127="Standard","7500",Membership_Data!F127="Premium","10000")</f>
        <v>7500</v>
      </c>
      <c r="E127" t="str" cm="1">
        <f t="array" ref="E127">_xlfn.IFS(D127="5000","Cash",D127="7500","Debit Card",D127="10000","Credit Card")</f>
        <v>Debit Card</v>
      </c>
    </row>
    <row r="128" spans="1:5" x14ac:dyDescent="0.3">
      <c r="A128" t="s">
        <v>741</v>
      </c>
      <c r="B128" t="s">
        <v>144</v>
      </c>
      <c r="C128" t="str">
        <f t="shared" ca="1" si="1"/>
        <v>05-12-2025</v>
      </c>
      <c r="D128" t="str" cm="1">
        <f t="array" ref="D128">_xlfn.IFS(Membership_Data!F128="Basic","5000",Membership_Data!F128="Standard","7500",Membership_Data!F128="Premium","10000")</f>
        <v>5000</v>
      </c>
      <c r="E128" t="str" cm="1">
        <f t="array" ref="E128">_xlfn.IFS(D128="5000","Cash",D128="7500","Debit Card",D128="10000","Credit Card")</f>
        <v>Cash</v>
      </c>
    </row>
    <row r="129" spans="1:5" x14ac:dyDescent="0.3">
      <c r="A129" t="s">
        <v>742</v>
      </c>
      <c r="B129" t="s">
        <v>145</v>
      </c>
      <c r="C129" t="str">
        <f t="shared" ca="1" si="1"/>
        <v>24-12-2025</v>
      </c>
      <c r="D129" t="str" cm="1">
        <f t="array" ref="D129">_xlfn.IFS(Membership_Data!F129="Basic","5000",Membership_Data!F129="Standard","7500",Membership_Data!F129="Premium","10000")</f>
        <v>10000</v>
      </c>
      <c r="E129" t="str" cm="1">
        <f t="array" ref="E129">_xlfn.IFS(D129="5000","Cash",D129="7500","Debit Card",D129="10000","Credit Card")</f>
        <v>Credit Card</v>
      </c>
    </row>
    <row r="130" spans="1:5" x14ac:dyDescent="0.3">
      <c r="A130" t="s">
        <v>743</v>
      </c>
      <c r="B130" t="s">
        <v>146</v>
      </c>
      <c r="C130" t="str">
        <f t="shared" ca="1" si="1"/>
        <v>25-02-2025</v>
      </c>
      <c r="D130" t="str" cm="1">
        <f t="array" ref="D130">_xlfn.IFS(Membership_Data!F130="Basic","5000",Membership_Data!F130="Standard","7500",Membership_Data!F130="Premium","10000")</f>
        <v>7500</v>
      </c>
      <c r="E130" t="str" cm="1">
        <f t="array" ref="E130">_xlfn.IFS(D130="5000","Cash",D130="7500","Debit Card",D130="10000","Credit Card")</f>
        <v>Debit Card</v>
      </c>
    </row>
    <row r="131" spans="1:5" x14ac:dyDescent="0.3">
      <c r="A131" t="s">
        <v>744</v>
      </c>
      <c r="B131" t="s">
        <v>147</v>
      </c>
      <c r="C131" t="str">
        <f t="shared" ref="C131:C194" ca="1" si="2">TEXT(RANDBETWEEN(DATE(2024,1,1), DATE(2025,12,31)),"dd-mm-yyyy")</f>
        <v>06-03-2025</v>
      </c>
      <c r="D131" t="str" cm="1">
        <f t="array" ref="D131">_xlfn.IFS(Membership_Data!F131="Basic","5000",Membership_Data!F131="Standard","7500",Membership_Data!F131="Premium","10000")</f>
        <v>5000</v>
      </c>
      <c r="E131" t="str" cm="1">
        <f t="array" ref="E131">_xlfn.IFS(D131="5000","Cash",D131="7500","Debit Card",D131="10000","Credit Card")</f>
        <v>Cash</v>
      </c>
    </row>
    <row r="132" spans="1:5" x14ac:dyDescent="0.3">
      <c r="A132" t="s">
        <v>745</v>
      </c>
      <c r="B132" t="s">
        <v>148</v>
      </c>
      <c r="C132" t="str">
        <f t="shared" ca="1" si="2"/>
        <v>19-12-2025</v>
      </c>
      <c r="D132" t="str" cm="1">
        <f t="array" ref="D132">_xlfn.IFS(Membership_Data!F132="Basic","5000",Membership_Data!F132="Standard","7500",Membership_Data!F132="Premium","10000")</f>
        <v>10000</v>
      </c>
      <c r="E132" t="str" cm="1">
        <f t="array" ref="E132">_xlfn.IFS(D132="5000","Cash",D132="7500","Debit Card",D132="10000","Credit Card")</f>
        <v>Credit Card</v>
      </c>
    </row>
    <row r="133" spans="1:5" x14ac:dyDescent="0.3">
      <c r="A133" t="s">
        <v>746</v>
      </c>
      <c r="B133" t="s">
        <v>149</v>
      </c>
      <c r="C133" t="str">
        <f t="shared" ca="1" si="2"/>
        <v>06-08-2024</v>
      </c>
      <c r="D133" t="str" cm="1">
        <f t="array" ref="D133">_xlfn.IFS(Membership_Data!F133="Basic","5000",Membership_Data!F133="Standard","7500",Membership_Data!F133="Premium","10000")</f>
        <v>7500</v>
      </c>
      <c r="E133" t="str" cm="1">
        <f t="array" ref="E133">_xlfn.IFS(D133="5000","Cash",D133="7500","Debit Card",D133="10000","Credit Card")</f>
        <v>Debit Card</v>
      </c>
    </row>
    <row r="134" spans="1:5" x14ac:dyDescent="0.3">
      <c r="A134" t="s">
        <v>747</v>
      </c>
      <c r="B134" t="s">
        <v>150</v>
      </c>
      <c r="C134" t="str">
        <f t="shared" ca="1" si="2"/>
        <v>03-12-2024</v>
      </c>
      <c r="D134" t="str" cm="1">
        <f t="array" ref="D134">_xlfn.IFS(Membership_Data!F134="Basic","5000",Membership_Data!F134="Standard","7500",Membership_Data!F134="Premium","10000")</f>
        <v>5000</v>
      </c>
      <c r="E134" t="str" cm="1">
        <f t="array" ref="E134">_xlfn.IFS(D134="5000","Cash",D134="7500","Debit Card",D134="10000","Credit Card")</f>
        <v>Cash</v>
      </c>
    </row>
    <row r="135" spans="1:5" x14ac:dyDescent="0.3">
      <c r="A135" t="s">
        <v>748</v>
      </c>
      <c r="B135" t="s">
        <v>151</v>
      </c>
      <c r="C135" t="str">
        <f t="shared" ca="1" si="2"/>
        <v>15-06-2024</v>
      </c>
      <c r="D135" t="str" cm="1">
        <f t="array" ref="D135">_xlfn.IFS(Membership_Data!F135="Basic","5000",Membership_Data!F135="Standard","7500",Membership_Data!F135="Premium","10000")</f>
        <v>10000</v>
      </c>
      <c r="E135" t="str" cm="1">
        <f t="array" ref="E135">_xlfn.IFS(D135="5000","Cash",D135="7500","Debit Card",D135="10000","Credit Card")</f>
        <v>Credit Card</v>
      </c>
    </row>
    <row r="136" spans="1:5" x14ac:dyDescent="0.3">
      <c r="A136" t="s">
        <v>749</v>
      </c>
      <c r="B136" t="s">
        <v>152</v>
      </c>
      <c r="C136" t="str">
        <f t="shared" ca="1" si="2"/>
        <v>01-06-2025</v>
      </c>
      <c r="D136" t="str" cm="1">
        <f t="array" ref="D136">_xlfn.IFS(Membership_Data!F136="Basic","5000",Membership_Data!F136="Standard","7500",Membership_Data!F136="Premium","10000")</f>
        <v>7500</v>
      </c>
      <c r="E136" t="str" cm="1">
        <f t="array" ref="E136">_xlfn.IFS(D136="5000","Cash",D136="7500","Debit Card",D136="10000","Credit Card")</f>
        <v>Debit Card</v>
      </c>
    </row>
    <row r="137" spans="1:5" x14ac:dyDescent="0.3">
      <c r="A137" t="s">
        <v>750</v>
      </c>
      <c r="B137" t="s">
        <v>153</v>
      </c>
      <c r="C137" t="str">
        <f t="shared" ca="1" si="2"/>
        <v>19-03-2025</v>
      </c>
      <c r="D137" t="str" cm="1">
        <f t="array" ref="D137">_xlfn.IFS(Membership_Data!F137="Basic","5000",Membership_Data!F137="Standard","7500",Membership_Data!F137="Premium","10000")</f>
        <v>5000</v>
      </c>
      <c r="E137" t="str" cm="1">
        <f t="array" ref="E137">_xlfn.IFS(D137="5000","Cash",D137="7500","Debit Card",D137="10000","Credit Card")</f>
        <v>Cash</v>
      </c>
    </row>
    <row r="138" spans="1:5" x14ac:dyDescent="0.3">
      <c r="A138" t="s">
        <v>751</v>
      </c>
      <c r="B138" t="s">
        <v>154</v>
      </c>
      <c r="C138" t="str">
        <f t="shared" ca="1" si="2"/>
        <v>26-02-2025</v>
      </c>
      <c r="D138" t="str" cm="1">
        <f t="array" ref="D138">_xlfn.IFS(Membership_Data!F138="Basic","5000",Membership_Data!F138="Standard","7500",Membership_Data!F138="Premium","10000")</f>
        <v>10000</v>
      </c>
      <c r="E138" t="str" cm="1">
        <f t="array" ref="E138">_xlfn.IFS(D138="5000","Cash",D138="7500","Debit Card",D138="10000","Credit Card")</f>
        <v>Credit Card</v>
      </c>
    </row>
    <row r="139" spans="1:5" x14ac:dyDescent="0.3">
      <c r="A139" t="s">
        <v>752</v>
      </c>
      <c r="B139" t="s">
        <v>155</v>
      </c>
      <c r="C139" t="str">
        <f t="shared" ca="1" si="2"/>
        <v>10-09-2025</v>
      </c>
      <c r="D139" t="str" cm="1">
        <f t="array" ref="D139">_xlfn.IFS(Membership_Data!F139="Basic","5000",Membership_Data!F139="Standard","7500",Membership_Data!F139="Premium","10000")</f>
        <v>7500</v>
      </c>
      <c r="E139" t="str" cm="1">
        <f t="array" ref="E139">_xlfn.IFS(D139="5000","Cash",D139="7500","Debit Card",D139="10000","Credit Card")</f>
        <v>Debit Card</v>
      </c>
    </row>
    <row r="140" spans="1:5" x14ac:dyDescent="0.3">
      <c r="A140" t="s">
        <v>753</v>
      </c>
      <c r="B140" t="s">
        <v>156</v>
      </c>
      <c r="C140" t="str">
        <f t="shared" ca="1" si="2"/>
        <v>23-05-2024</v>
      </c>
      <c r="D140" t="str" cm="1">
        <f t="array" ref="D140">_xlfn.IFS(Membership_Data!F140="Basic","5000",Membership_Data!F140="Standard","7500",Membership_Data!F140="Premium","10000")</f>
        <v>5000</v>
      </c>
      <c r="E140" t="str" cm="1">
        <f t="array" ref="E140">_xlfn.IFS(D140="5000","Cash",D140="7500","Debit Card",D140="10000","Credit Card")</f>
        <v>Cash</v>
      </c>
    </row>
    <row r="141" spans="1:5" x14ac:dyDescent="0.3">
      <c r="A141" t="s">
        <v>754</v>
      </c>
      <c r="B141" t="s">
        <v>157</v>
      </c>
      <c r="C141" t="str">
        <f t="shared" ca="1" si="2"/>
        <v>12-10-2025</v>
      </c>
      <c r="D141" t="str" cm="1">
        <f t="array" ref="D141">_xlfn.IFS(Membership_Data!F141="Basic","5000",Membership_Data!F141="Standard","7500",Membership_Data!F141="Premium","10000")</f>
        <v>10000</v>
      </c>
      <c r="E141" t="str" cm="1">
        <f t="array" ref="E141">_xlfn.IFS(D141="5000","Cash",D141="7500","Debit Card",D141="10000","Credit Card")</f>
        <v>Credit Card</v>
      </c>
    </row>
    <row r="142" spans="1:5" x14ac:dyDescent="0.3">
      <c r="A142" t="s">
        <v>755</v>
      </c>
      <c r="B142" t="s">
        <v>158</v>
      </c>
      <c r="C142" t="str">
        <f t="shared" ca="1" si="2"/>
        <v>31-01-2024</v>
      </c>
      <c r="D142" t="str" cm="1">
        <f t="array" ref="D142">_xlfn.IFS(Membership_Data!F142="Basic","5000",Membership_Data!F142="Standard","7500",Membership_Data!F142="Premium","10000")</f>
        <v>7500</v>
      </c>
      <c r="E142" t="str" cm="1">
        <f t="array" ref="E142">_xlfn.IFS(D142="5000","Cash",D142="7500","Debit Card",D142="10000","Credit Card")</f>
        <v>Debit Card</v>
      </c>
    </row>
    <row r="143" spans="1:5" x14ac:dyDescent="0.3">
      <c r="A143" t="s">
        <v>756</v>
      </c>
      <c r="B143" t="s">
        <v>159</v>
      </c>
      <c r="C143" t="str">
        <f t="shared" ca="1" si="2"/>
        <v>13-04-2025</v>
      </c>
      <c r="D143" t="str" cm="1">
        <f t="array" ref="D143">_xlfn.IFS(Membership_Data!F143="Basic","5000",Membership_Data!F143="Standard","7500",Membership_Data!F143="Premium","10000")</f>
        <v>5000</v>
      </c>
      <c r="E143" t="str" cm="1">
        <f t="array" ref="E143">_xlfn.IFS(D143="5000","Cash",D143="7500","Debit Card",D143="10000","Credit Card")</f>
        <v>Cash</v>
      </c>
    </row>
    <row r="144" spans="1:5" x14ac:dyDescent="0.3">
      <c r="A144" t="s">
        <v>757</v>
      </c>
      <c r="B144" t="s">
        <v>160</v>
      </c>
      <c r="C144" t="str">
        <f t="shared" ca="1" si="2"/>
        <v>24-03-2025</v>
      </c>
      <c r="D144" t="str" cm="1">
        <f t="array" ref="D144">_xlfn.IFS(Membership_Data!F144="Basic","5000",Membership_Data!F144="Standard","7500",Membership_Data!F144="Premium","10000")</f>
        <v>10000</v>
      </c>
      <c r="E144" t="str" cm="1">
        <f t="array" ref="E144">_xlfn.IFS(D144="5000","Cash",D144="7500","Debit Card",D144="10000","Credit Card")</f>
        <v>Credit Card</v>
      </c>
    </row>
    <row r="145" spans="1:5" x14ac:dyDescent="0.3">
      <c r="A145" t="s">
        <v>758</v>
      </c>
      <c r="B145" t="s">
        <v>161</v>
      </c>
      <c r="C145" t="str">
        <f t="shared" ca="1" si="2"/>
        <v>29-11-2024</v>
      </c>
      <c r="D145" t="str" cm="1">
        <f t="array" ref="D145">_xlfn.IFS(Membership_Data!F145="Basic","5000",Membership_Data!F145="Standard","7500",Membership_Data!F145="Premium","10000")</f>
        <v>7500</v>
      </c>
      <c r="E145" t="str" cm="1">
        <f t="array" ref="E145">_xlfn.IFS(D145="5000","Cash",D145="7500","Debit Card",D145="10000","Credit Card")</f>
        <v>Debit Card</v>
      </c>
    </row>
    <row r="146" spans="1:5" x14ac:dyDescent="0.3">
      <c r="A146" t="s">
        <v>759</v>
      </c>
      <c r="B146" t="s">
        <v>162</v>
      </c>
      <c r="C146" t="str">
        <f t="shared" ca="1" si="2"/>
        <v>14-12-2025</v>
      </c>
      <c r="D146" t="str" cm="1">
        <f t="array" ref="D146">_xlfn.IFS(Membership_Data!F146="Basic","5000",Membership_Data!F146="Standard","7500",Membership_Data!F146="Premium","10000")</f>
        <v>5000</v>
      </c>
      <c r="E146" t="str" cm="1">
        <f t="array" ref="E146">_xlfn.IFS(D146="5000","Cash",D146="7500","Debit Card",D146="10000","Credit Card")</f>
        <v>Cash</v>
      </c>
    </row>
    <row r="147" spans="1:5" x14ac:dyDescent="0.3">
      <c r="A147" t="s">
        <v>760</v>
      </c>
      <c r="B147" t="s">
        <v>163</v>
      </c>
      <c r="C147" t="str">
        <f t="shared" ca="1" si="2"/>
        <v>26-09-2025</v>
      </c>
      <c r="D147" t="str" cm="1">
        <f t="array" ref="D147">_xlfn.IFS(Membership_Data!F147="Basic","5000",Membership_Data!F147="Standard","7500",Membership_Data!F147="Premium","10000")</f>
        <v>10000</v>
      </c>
      <c r="E147" t="str" cm="1">
        <f t="array" ref="E147">_xlfn.IFS(D147="5000","Cash",D147="7500","Debit Card",D147="10000","Credit Card")</f>
        <v>Credit Card</v>
      </c>
    </row>
    <row r="148" spans="1:5" x14ac:dyDescent="0.3">
      <c r="A148" t="s">
        <v>761</v>
      </c>
      <c r="B148" t="s">
        <v>164</v>
      </c>
      <c r="C148" t="str">
        <f t="shared" ca="1" si="2"/>
        <v>02-05-2024</v>
      </c>
      <c r="D148" t="str" cm="1">
        <f t="array" ref="D148">_xlfn.IFS(Membership_Data!F148="Basic","5000",Membership_Data!F148="Standard","7500",Membership_Data!F148="Premium","10000")</f>
        <v>7500</v>
      </c>
      <c r="E148" t="str" cm="1">
        <f t="array" ref="E148">_xlfn.IFS(D148="5000","Cash",D148="7500","Debit Card",D148="10000","Credit Card")</f>
        <v>Debit Card</v>
      </c>
    </row>
    <row r="149" spans="1:5" x14ac:dyDescent="0.3">
      <c r="A149" t="s">
        <v>762</v>
      </c>
      <c r="B149" t="s">
        <v>165</v>
      </c>
      <c r="C149" t="str">
        <f t="shared" ca="1" si="2"/>
        <v>01-01-2025</v>
      </c>
      <c r="D149" t="str" cm="1">
        <f t="array" ref="D149">_xlfn.IFS(Membership_Data!F149="Basic","5000",Membership_Data!F149="Standard","7500",Membership_Data!F149="Premium","10000")</f>
        <v>5000</v>
      </c>
      <c r="E149" t="str" cm="1">
        <f t="array" ref="E149">_xlfn.IFS(D149="5000","Cash",D149="7500","Debit Card",D149="10000","Credit Card")</f>
        <v>Cash</v>
      </c>
    </row>
    <row r="150" spans="1:5" x14ac:dyDescent="0.3">
      <c r="A150" t="s">
        <v>763</v>
      </c>
      <c r="B150" t="s">
        <v>166</v>
      </c>
      <c r="C150" t="str">
        <f t="shared" ca="1" si="2"/>
        <v>19-02-2024</v>
      </c>
      <c r="D150" t="str" cm="1">
        <f t="array" ref="D150">_xlfn.IFS(Membership_Data!F150="Basic","5000",Membership_Data!F150="Standard","7500",Membership_Data!F150="Premium","10000")</f>
        <v>10000</v>
      </c>
      <c r="E150" t="str" cm="1">
        <f t="array" ref="E150">_xlfn.IFS(D150="5000","Cash",D150="7500","Debit Card",D150="10000","Credit Card")</f>
        <v>Credit Card</v>
      </c>
    </row>
    <row r="151" spans="1:5" x14ac:dyDescent="0.3">
      <c r="A151" t="s">
        <v>764</v>
      </c>
      <c r="B151" t="s">
        <v>167</v>
      </c>
      <c r="C151" t="str">
        <f t="shared" ca="1" si="2"/>
        <v>03-06-2024</v>
      </c>
      <c r="D151" t="str" cm="1">
        <f t="array" ref="D151">_xlfn.IFS(Membership_Data!F151="Basic","5000",Membership_Data!F151="Standard","7500",Membership_Data!F151="Premium","10000")</f>
        <v>7500</v>
      </c>
      <c r="E151" t="str" cm="1">
        <f t="array" ref="E151">_xlfn.IFS(D151="5000","Cash",D151="7500","Debit Card",D151="10000","Credit Card")</f>
        <v>Debit Card</v>
      </c>
    </row>
    <row r="152" spans="1:5" x14ac:dyDescent="0.3">
      <c r="A152" t="s">
        <v>765</v>
      </c>
      <c r="B152" t="s">
        <v>168</v>
      </c>
      <c r="C152" t="str">
        <f t="shared" ca="1" si="2"/>
        <v>11-12-2024</v>
      </c>
      <c r="D152" t="str" cm="1">
        <f t="array" ref="D152">_xlfn.IFS(Membership_Data!F152="Basic","5000",Membership_Data!F152="Standard","7500",Membership_Data!F152="Premium","10000")</f>
        <v>5000</v>
      </c>
      <c r="E152" t="str" cm="1">
        <f t="array" ref="E152">_xlfn.IFS(D152="5000","Cash",D152="7500","Debit Card",D152="10000","Credit Card")</f>
        <v>Cash</v>
      </c>
    </row>
    <row r="153" spans="1:5" x14ac:dyDescent="0.3">
      <c r="A153" t="s">
        <v>766</v>
      </c>
      <c r="B153" t="s">
        <v>169</v>
      </c>
      <c r="C153" t="str">
        <f t="shared" ca="1" si="2"/>
        <v>05-08-2025</v>
      </c>
      <c r="D153" t="str" cm="1">
        <f t="array" ref="D153">_xlfn.IFS(Membership_Data!F153="Basic","5000",Membership_Data!F153="Standard","7500",Membership_Data!F153="Premium","10000")</f>
        <v>10000</v>
      </c>
      <c r="E153" t="str" cm="1">
        <f t="array" ref="E153">_xlfn.IFS(D153="5000","Cash",D153="7500","Debit Card",D153="10000","Credit Card")</f>
        <v>Credit Card</v>
      </c>
    </row>
    <row r="154" spans="1:5" x14ac:dyDescent="0.3">
      <c r="A154" t="s">
        <v>767</v>
      </c>
      <c r="B154" t="s">
        <v>170</v>
      </c>
      <c r="C154" t="str">
        <f t="shared" ca="1" si="2"/>
        <v>17-12-2024</v>
      </c>
      <c r="D154" t="str" cm="1">
        <f t="array" ref="D154">_xlfn.IFS(Membership_Data!F154="Basic","5000",Membership_Data!F154="Standard","7500",Membership_Data!F154="Premium","10000")</f>
        <v>7500</v>
      </c>
      <c r="E154" t="str" cm="1">
        <f t="array" ref="E154">_xlfn.IFS(D154="5000","Cash",D154="7500","Debit Card",D154="10000","Credit Card")</f>
        <v>Debit Card</v>
      </c>
    </row>
    <row r="155" spans="1:5" x14ac:dyDescent="0.3">
      <c r="A155" t="s">
        <v>768</v>
      </c>
      <c r="B155" t="s">
        <v>171</v>
      </c>
      <c r="C155" t="str">
        <f t="shared" ca="1" si="2"/>
        <v>17-10-2025</v>
      </c>
      <c r="D155" t="str" cm="1">
        <f t="array" ref="D155">_xlfn.IFS(Membership_Data!F155="Basic","5000",Membership_Data!F155="Standard","7500",Membership_Data!F155="Premium","10000")</f>
        <v>5000</v>
      </c>
      <c r="E155" t="str" cm="1">
        <f t="array" ref="E155">_xlfn.IFS(D155="5000","Cash",D155="7500","Debit Card",D155="10000","Credit Card")</f>
        <v>Cash</v>
      </c>
    </row>
    <row r="156" spans="1:5" x14ac:dyDescent="0.3">
      <c r="A156" t="s">
        <v>769</v>
      </c>
      <c r="B156" t="s">
        <v>172</v>
      </c>
      <c r="C156" t="str">
        <f t="shared" ca="1" si="2"/>
        <v>26-10-2024</v>
      </c>
      <c r="D156" t="str" cm="1">
        <f t="array" ref="D156">_xlfn.IFS(Membership_Data!F156="Basic","5000",Membership_Data!F156="Standard","7500",Membership_Data!F156="Premium","10000")</f>
        <v>10000</v>
      </c>
      <c r="E156" t="str" cm="1">
        <f t="array" ref="E156">_xlfn.IFS(D156="5000","Cash",D156="7500","Debit Card",D156="10000","Credit Card")</f>
        <v>Credit Card</v>
      </c>
    </row>
    <row r="157" spans="1:5" x14ac:dyDescent="0.3">
      <c r="A157" t="s">
        <v>770</v>
      </c>
      <c r="B157" t="s">
        <v>173</v>
      </c>
      <c r="C157" t="str">
        <f t="shared" ca="1" si="2"/>
        <v>20-07-2024</v>
      </c>
      <c r="D157" t="str" cm="1">
        <f t="array" ref="D157">_xlfn.IFS(Membership_Data!F157="Basic","5000",Membership_Data!F157="Standard","7500",Membership_Data!F157="Premium","10000")</f>
        <v>7500</v>
      </c>
      <c r="E157" t="str" cm="1">
        <f t="array" ref="E157">_xlfn.IFS(D157="5000","Cash",D157="7500","Debit Card",D157="10000","Credit Card")</f>
        <v>Debit Card</v>
      </c>
    </row>
    <row r="158" spans="1:5" x14ac:dyDescent="0.3">
      <c r="A158" t="s">
        <v>771</v>
      </c>
      <c r="B158" t="s">
        <v>174</v>
      </c>
      <c r="C158" t="str">
        <f t="shared" ca="1" si="2"/>
        <v>30-10-2025</v>
      </c>
      <c r="D158" t="str" cm="1">
        <f t="array" ref="D158">_xlfn.IFS(Membership_Data!F158="Basic","5000",Membership_Data!F158="Standard","7500",Membership_Data!F158="Premium","10000")</f>
        <v>5000</v>
      </c>
      <c r="E158" t="str" cm="1">
        <f t="array" ref="E158">_xlfn.IFS(D158="5000","Cash",D158="7500","Debit Card",D158="10000","Credit Card")</f>
        <v>Cash</v>
      </c>
    </row>
    <row r="159" spans="1:5" x14ac:dyDescent="0.3">
      <c r="A159" t="s">
        <v>772</v>
      </c>
      <c r="B159" t="s">
        <v>175</v>
      </c>
      <c r="C159" t="str">
        <f t="shared" ca="1" si="2"/>
        <v>06-01-2024</v>
      </c>
      <c r="D159" t="str" cm="1">
        <f t="array" ref="D159">_xlfn.IFS(Membership_Data!F159="Basic","5000",Membership_Data!F159="Standard","7500",Membership_Data!F159="Premium","10000")</f>
        <v>10000</v>
      </c>
      <c r="E159" t="str" cm="1">
        <f t="array" ref="E159">_xlfn.IFS(D159="5000","Cash",D159="7500","Debit Card",D159="10000","Credit Card")</f>
        <v>Credit Card</v>
      </c>
    </row>
    <row r="160" spans="1:5" x14ac:dyDescent="0.3">
      <c r="A160" t="s">
        <v>773</v>
      </c>
      <c r="B160" t="s">
        <v>176</v>
      </c>
      <c r="C160" t="str">
        <f t="shared" ca="1" si="2"/>
        <v>24-02-2024</v>
      </c>
      <c r="D160" t="str" cm="1">
        <f t="array" ref="D160">_xlfn.IFS(Membership_Data!F160="Basic","5000",Membership_Data!F160="Standard","7500",Membership_Data!F160="Premium","10000")</f>
        <v>7500</v>
      </c>
      <c r="E160" t="str" cm="1">
        <f t="array" ref="E160">_xlfn.IFS(D160="5000","Cash",D160="7500","Debit Card",D160="10000","Credit Card")</f>
        <v>Debit Card</v>
      </c>
    </row>
    <row r="161" spans="1:5" x14ac:dyDescent="0.3">
      <c r="A161" t="s">
        <v>774</v>
      </c>
      <c r="B161" t="s">
        <v>177</v>
      </c>
      <c r="C161" t="str">
        <f t="shared" ca="1" si="2"/>
        <v>02-02-2025</v>
      </c>
      <c r="D161" t="str" cm="1">
        <f t="array" ref="D161">_xlfn.IFS(Membership_Data!F161="Basic","5000",Membership_Data!F161="Standard","7500",Membership_Data!F161="Premium","10000")</f>
        <v>5000</v>
      </c>
      <c r="E161" t="str" cm="1">
        <f t="array" ref="E161">_xlfn.IFS(D161="5000","Cash",D161="7500","Debit Card",D161="10000","Credit Card")</f>
        <v>Cash</v>
      </c>
    </row>
    <row r="162" spans="1:5" x14ac:dyDescent="0.3">
      <c r="A162" t="s">
        <v>775</v>
      </c>
      <c r="B162" t="s">
        <v>178</v>
      </c>
      <c r="C162" t="str">
        <f t="shared" ca="1" si="2"/>
        <v>16-10-2025</v>
      </c>
      <c r="D162" t="str" cm="1">
        <f t="array" ref="D162">_xlfn.IFS(Membership_Data!F162="Basic","5000",Membership_Data!F162="Standard","7500",Membership_Data!F162="Premium","10000")</f>
        <v>10000</v>
      </c>
      <c r="E162" t="str" cm="1">
        <f t="array" ref="E162">_xlfn.IFS(D162="5000","Cash",D162="7500","Debit Card",D162="10000","Credit Card")</f>
        <v>Credit Card</v>
      </c>
    </row>
    <row r="163" spans="1:5" x14ac:dyDescent="0.3">
      <c r="A163" t="s">
        <v>776</v>
      </c>
      <c r="B163" t="s">
        <v>179</v>
      </c>
      <c r="C163" t="str">
        <f t="shared" ca="1" si="2"/>
        <v>27-03-2024</v>
      </c>
      <c r="D163" t="str" cm="1">
        <f t="array" ref="D163">_xlfn.IFS(Membership_Data!F163="Basic","5000",Membership_Data!F163="Standard","7500",Membership_Data!F163="Premium","10000")</f>
        <v>7500</v>
      </c>
      <c r="E163" t="str" cm="1">
        <f t="array" ref="E163">_xlfn.IFS(D163="5000","Cash",D163="7500","Debit Card",D163="10000","Credit Card")</f>
        <v>Debit Card</v>
      </c>
    </row>
    <row r="164" spans="1:5" x14ac:dyDescent="0.3">
      <c r="A164" t="s">
        <v>777</v>
      </c>
      <c r="B164" t="s">
        <v>180</v>
      </c>
      <c r="C164" t="str">
        <f t="shared" ca="1" si="2"/>
        <v>30-05-2024</v>
      </c>
      <c r="D164" t="str" cm="1">
        <f t="array" ref="D164">_xlfn.IFS(Membership_Data!F164="Basic","5000",Membership_Data!F164="Standard","7500",Membership_Data!F164="Premium","10000")</f>
        <v>5000</v>
      </c>
      <c r="E164" t="str" cm="1">
        <f t="array" ref="E164">_xlfn.IFS(D164="5000","Cash",D164="7500","Debit Card",D164="10000","Credit Card")</f>
        <v>Cash</v>
      </c>
    </row>
    <row r="165" spans="1:5" x14ac:dyDescent="0.3">
      <c r="A165" t="s">
        <v>778</v>
      </c>
      <c r="B165" t="s">
        <v>181</v>
      </c>
      <c r="C165" t="str">
        <f t="shared" ca="1" si="2"/>
        <v>22-09-2024</v>
      </c>
      <c r="D165" t="str" cm="1">
        <f t="array" ref="D165">_xlfn.IFS(Membership_Data!F165="Basic","5000",Membership_Data!F165="Standard","7500",Membership_Data!F165="Premium","10000")</f>
        <v>10000</v>
      </c>
      <c r="E165" t="str" cm="1">
        <f t="array" ref="E165">_xlfn.IFS(D165="5000","Cash",D165="7500","Debit Card",D165="10000","Credit Card")</f>
        <v>Credit Card</v>
      </c>
    </row>
    <row r="166" spans="1:5" x14ac:dyDescent="0.3">
      <c r="A166" t="s">
        <v>779</v>
      </c>
      <c r="B166" t="s">
        <v>182</v>
      </c>
      <c r="C166" t="str">
        <f t="shared" ca="1" si="2"/>
        <v>25-02-2024</v>
      </c>
      <c r="D166" t="str" cm="1">
        <f t="array" ref="D166">_xlfn.IFS(Membership_Data!F166="Basic","5000",Membership_Data!F166="Standard","7500",Membership_Data!F166="Premium","10000")</f>
        <v>7500</v>
      </c>
      <c r="E166" t="str" cm="1">
        <f t="array" ref="E166">_xlfn.IFS(D166="5000","Cash",D166="7500","Debit Card",D166="10000","Credit Card")</f>
        <v>Debit Card</v>
      </c>
    </row>
    <row r="167" spans="1:5" x14ac:dyDescent="0.3">
      <c r="A167" t="s">
        <v>780</v>
      </c>
      <c r="B167" t="s">
        <v>183</v>
      </c>
      <c r="C167" t="str">
        <f t="shared" ca="1" si="2"/>
        <v>18-05-2025</v>
      </c>
      <c r="D167" t="str" cm="1">
        <f t="array" ref="D167">_xlfn.IFS(Membership_Data!F167="Basic","5000",Membership_Data!F167="Standard","7500",Membership_Data!F167="Premium","10000")</f>
        <v>5000</v>
      </c>
      <c r="E167" t="str" cm="1">
        <f t="array" ref="E167">_xlfn.IFS(D167="5000","Cash",D167="7500","Debit Card",D167="10000","Credit Card")</f>
        <v>Cash</v>
      </c>
    </row>
    <row r="168" spans="1:5" x14ac:dyDescent="0.3">
      <c r="A168" t="s">
        <v>781</v>
      </c>
      <c r="B168" t="s">
        <v>184</v>
      </c>
      <c r="C168" t="str">
        <f t="shared" ca="1" si="2"/>
        <v>26-01-2024</v>
      </c>
      <c r="D168" t="str" cm="1">
        <f t="array" ref="D168">_xlfn.IFS(Membership_Data!F168="Basic","5000",Membership_Data!F168="Standard","7500",Membership_Data!F168="Premium","10000")</f>
        <v>10000</v>
      </c>
      <c r="E168" t="str" cm="1">
        <f t="array" ref="E168">_xlfn.IFS(D168="5000","Cash",D168="7500","Debit Card",D168="10000","Credit Card")</f>
        <v>Credit Card</v>
      </c>
    </row>
    <row r="169" spans="1:5" x14ac:dyDescent="0.3">
      <c r="A169" t="s">
        <v>782</v>
      </c>
      <c r="B169" t="s">
        <v>185</v>
      </c>
      <c r="C169" t="str">
        <f t="shared" ca="1" si="2"/>
        <v>02-04-2024</v>
      </c>
      <c r="D169" t="str" cm="1">
        <f t="array" ref="D169">_xlfn.IFS(Membership_Data!F169="Basic","5000",Membership_Data!F169="Standard","7500",Membership_Data!F169="Premium","10000")</f>
        <v>7500</v>
      </c>
      <c r="E169" t="str" cm="1">
        <f t="array" ref="E169">_xlfn.IFS(D169="5000","Cash",D169="7500","Debit Card",D169="10000","Credit Card")</f>
        <v>Debit Card</v>
      </c>
    </row>
    <row r="170" spans="1:5" x14ac:dyDescent="0.3">
      <c r="A170" t="s">
        <v>783</v>
      </c>
      <c r="B170" t="s">
        <v>186</v>
      </c>
      <c r="C170" t="str">
        <f t="shared" ca="1" si="2"/>
        <v>26-08-2025</v>
      </c>
      <c r="D170" t="str" cm="1">
        <f t="array" ref="D170">_xlfn.IFS(Membership_Data!F170="Basic","5000",Membership_Data!F170="Standard","7500",Membership_Data!F170="Premium","10000")</f>
        <v>5000</v>
      </c>
      <c r="E170" t="str" cm="1">
        <f t="array" ref="E170">_xlfn.IFS(D170="5000","Cash",D170="7500","Debit Card",D170="10000","Credit Card")</f>
        <v>Cash</v>
      </c>
    </row>
    <row r="171" spans="1:5" x14ac:dyDescent="0.3">
      <c r="A171" t="s">
        <v>784</v>
      </c>
      <c r="B171" t="s">
        <v>187</v>
      </c>
      <c r="C171" t="str">
        <f t="shared" ca="1" si="2"/>
        <v>12-09-2025</v>
      </c>
      <c r="D171" t="str" cm="1">
        <f t="array" ref="D171">_xlfn.IFS(Membership_Data!F171="Basic","5000",Membership_Data!F171="Standard","7500",Membership_Data!F171="Premium","10000")</f>
        <v>10000</v>
      </c>
      <c r="E171" t="str" cm="1">
        <f t="array" ref="E171">_xlfn.IFS(D171="5000","Cash",D171="7500","Debit Card",D171="10000","Credit Card")</f>
        <v>Credit Card</v>
      </c>
    </row>
    <row r="172" spans="1:5" x14ac:dyDescent="0.3">
      <c r="A172" t="s">
        <v>785</v>
      </c>
      <c r="B172" t="s">
        <v>188</v>
      </c>
      <c r="C172" t="str">
        <f t="shared" ca="1" si="2"/>
        <v>05-02-2024</v>
      </c>
      <c r="D172" t="str" cm="1">
        <f t="array" ref="D172">_xlfn.IFS(Membership_Data!F172="Basic","5000",Membership_Data!F172="Standard","7500",Membership_Data!F172="Premium","10000")</f>
        <v>7500</v>
      </c>
      <c r="E172" t="str" cm="1">
        <f t="array" ref="E172">_xlfn.IFS(D172="5000","Cash",D172="7500","Debit Card",D172="10000","Credit Card")</f>
        <v>Debit Card</v>
      </c>
    </row>
    <row r="173" spans="1:5" x14ac:dyDescent="0.3">
      <c r="A173" t="s">
        <v>786</v>
      </c>
      <c r="B173" t="s">
        <v>189</v>
      </c>
      <c r="C173" t="str">
        <f t="shared" ca="1" si="2"/>
        <v>06-06-2024</v>
      </c>
      <c r="D173" t="str" cm="1">
        <f t="array" ref="D173">_xlfn.IFS(Membership_Data!F173="Basic","5000",Membership_Data!F173="Standard","7500",Membership_Data!F173="Premium","10000")</f>
        <v>5000</v>
      </c>
      <c r="E173" t="str" cm="1">
        <f t="array" ref="E173">_xlfn.IFS(D173="5000","Cash",D173="7500","Debit Card",D173="10000","Credit Card")</f>
        <v>Cash</v>
      </c>
    </row>
    <row r="174" spans="1:5" x14ac:dyDescent="0.3">
      <c r="A174" t="s">
        <v>787</v>
      </c>
      <c r="B174" t="s">
        <v>190</v>
      </c>
      <c r="C174" t="str">
        <f t="shared" ca="1" si="2"/>
        <v>05-05-2025</v>
      </c>
      <c r="D174" t="str" cm="1">
        <f t="array" ref="D174">_xlfn.IFS(Membership_Data!F174="Basic","5000",Membership_Data!F174="Standard","7500",Membership_Data!F174="Premium","10000")</f>
        <v>10000</v>
      </c>
      <c r="E174" t="str" cm="1">
        <f t="array" ref="E174">_xlfn.IFS(D174="5000","Cash",D174="7500","Debit Card",D174="10000","Credit Card")</f>
        <v>Credit Card</v>
      </c>
    </row>
    <row r="175" spans="1:5" x14ac:dyDescent="0.3">
      <c r="A175" t="s">
        <v>788</v>
      </c>
      <c r="B175" t="s">
        <v>191</v>
      </c>
      <c r="C175" t="str">
        <f t="shared" ca="1" si="2"/>
        <v>13-07-2025</v>
      </c>
      <c r="D175" t="str" cm="1">
        <f t="array" ref="D175">_xlfn.IFS(Membership_Data!F175="Basic","5000",Membership_Data!F175="Standard","7500",Membership_Data!F175="Premium","10000")</f>
        <v>7500</v>
      </c>
      <c r="E175" t="str" cm="1">
        <f t="array" ref="E175">_xlfn.IFS(D175="5000","Cash",D175="7500","Debit Card",D175="10000","Credit Card")</f>
        <v>Debit Card</v>
      </c>
    </row>
    <row r="176" spans="1:5" x14ac:dyDescent="0.3">
      <c r="A176" t="s">
        <v>789</v>
      </c>
      <c r="B176" t="s">
        <v>192</v>
      </c>
      <c r="C176" t="str">
        <f t="shared" ca="1" si="2"/>
        <v>26-12-2024</v>
      </c>
      <c r="D176" t="str" cm="1">
        <f t="array" ref="D176">_xlfn.IFS(Membership_Data!F176="Basic","5000",Membership_Data!F176="Standard","7500",Membership_Data!F176="Premium","10000")</f>
        <v>5000</v>
      </c>
      <c r="E176" t="str" cm="1">
        <f t="array" ref="E176">_xlfn.IFS(D176="5000","Cash",D176="7500","Debit Card",D176="10000","Credit Card")</f>
        <v>Cash</v>
      </c>
    </row>
    <row r="177" spans="1:5" x14ac:dyDescent="0.3">
      <c r="A177" t="s">
        <v>790</v>
      </c>
      <c r="B177" t="s">
        <v>193</v>
      </c>
      <c r="C177" t="str">
        <f t="shared" ca="1" si="2"/>
        <v>06-12-2025</v>
      </c>
      <c r="D177" t="str" cm="1">
        <f t="array" ref="D177">_xlfn.IFS(Membership_Data!F177="Basic","5000",Membership_Data!F177="Standard","7500",Membership_Data!F177="Premium","10000")</f>
        <v>10000</v>
      </c>
      <c r="E177" t="str" cm="1">
        <f t="array" ref="E177">_xlfn.IFS(D177="5000","Cash",D177="7500","Debit Card",D177="10000","Credit Card")</f>
        <v>Credit Card</v>
      </c>
    </row>
    <row r="178" spans="1:5" x14ac:dyDescent="0.3">
      <c r="A178" t="s">
        <v>791</v>
      </c>
      <c r="B178" t="s">
        <v>194</v>
      </c>
      <c r="C178" t="str">
        <f t="shared" ca="1" si="2"/>
        <v>05-10-2024</v>
      </c>
      <c r="D178" t="str" cm="1">
        <f t="array" ref="D178">_xlfn.IFS(Membership_Data!F178="Basic","5000",Membership_Data!F178="Standard","7500",Membership_Data!F178="Premium","10000")</f>
        <v>7500</v>
      </c>
      <c r="E178" t="str" cm="1">
        <f t="array" ref="E178">_xlfn.IFS(D178="5000","Cash",D178="7500","Debit Card",D178="10000","Credit Card")</f>
        <v>Debit Card</v>
      </c>
    </row>
    <row r="179" spans="1:5" x14ac:dyDescent="0.3">
      <c r="A179" t="s">
        <v>792</v>
      </c>
      <c r="B179" t="s">
        <v>195</v>
      </c>
      <c r="C179" t="str">
        <f t="shared" ca="1" si="2"/>
        <v>12-03-2024</v>
      </c>
      <c r="D179" t="str" cm="1">
        <f t="array" ref="D179">_xlfn.IFS(Membership_Data!F179="Basic","5000",Membership_Data!F179="Standard","7500",Membership_Data!F179="Premium","10000")</f>
        <v>5000</v>
      </c>
      <c r="E179" t="str" cm="1">
        <f t="array" ref="E179">_xlfn.IFS(D179="5000","Cash",D179="7500","Debit Card",D179="10000","Credit Card")</f>
        <v>Cash</v>
      </c>
    </row>
    <row r="180" spans="1:5" x14ac:dyDescent="0.3">
      <c r="A180" t="s">
        <v>793</v>
      </c>
      <c r="B180" t="s">
        <v>196</v>
      </c>
      <c r="C180" t="str">
        <f t="shared" ca="1" si="2"/>
        <v>29-08-2024</v>
      </c>
      <c r="D180" t="str" cm="1">
        <f t="array" ref="D180">_xlfn.IFS(Membership_Data!F180="Basic","5000",Membership_Data!F180="Standard","7500",Membership_Data!F180="Premium","10000")</f>
        <v>10000</v>
      </c>
      <c r="E180" t="str" cm="1">
        <f t="array" ref="E180">_xlfn.IFS(D180="5000","Cash",D180="7500","Debit Card",D180="10000","Credit Card")</f>
        <v>Credit Card</v>
      </c>
    </row>
    <row r="181" spans="1:5" x14ac:dyDescent="0.3">
      <c r="A181" t="s">
        <v>794</v>
      </c>
      <c r="B181" t="s">
        <v>197</v>
      </c>
      <c r="C181" t="str">
        <f t="shared" ca="1" si="2"/>
        <v>27-12-2024</v>
      </c>
      <c r="D181" t="str" cm="1">
        <f t="array" ref="D181">_xlfn.IFS(Membership_Data!F181="Basic","5000",Membership_Data!F181="Standard","7500",Membership_Data!F181="Premium","10000")</f>
        <v>7500</v>
      </c>
      <c r="E181" t="str" cm="1">
        <f t="array" ref="E181">_xlfn.IFS(D181="5000","Cash",D181="7500","Debit Card",D181="10000","Credit Card")</f>
        <v>Debit Card</v>
      </c>
    </row>
    <row r="182" spans="1:5" x14ac:dyDescent="0.3">
      <c r="A182" t="s">
        <v>795</v>
      </c>
      <c r="B182" t="s">
        <v>198</v>
      </c>
      <c r="C182" t="str">
        <f t="shared" ca="1" si="2"/>
        <v>16-10-2025</v>
      </c>
      <c r="D182" t="str" cm="1">
        <f t="array" ref="D182">_xlfn.IFS(Membership_Data!F182="Basic","5000",Membership_Data!F182="Standard","7500",Membership_Data!F182="Premium","10000")</f>
        <v>5000</v>
      </c>
      <c r="E182" t="str" cm="1">
        <f t="array" ref="E182">_xlfn.IFS(D182="5000","Cash",D182="7500","Debit Card",D182="10000","Credit Card")</f>
        <v>Cash</v>
      </c>
    </row>
    <row r="183" spans="1:5" x14ac:dyDescent="0.3">
      <c r="A183" t="s">
        <v>796</v>
      </c>
      <c r="B183" t="s">
        <v>199</v>
      </c>
      <c r="C183" t="str">
        <f t="shared" ca="1" si="2"/>
        <v>05-09-2025</v>
      </c>
      <c r="D183" t="str" cm="1">
        <f t="array" ref="D183">_xlfn.IFS(Membership_Data!F183="Basic","5000",Membership_Data!F183="Standard","7500",Membership_Data!F183="Premium","10000")</f>
        <v>10000</v>
      </c>
      <c r="E183" t="str" cm="1">
        <f t="array" ref="E183">_xlfn.IFS(D183="5000","Cash",D183="7500","Debit Card",D183="10000","Credit Card")</f>
        <v>Credit Card</v>
      </c>
    </row>
    <row r="184" spans="1:5" x14ac:dyDescent="0.3">
      <c r="A184" t="s">
        <v>797</v>
      </c>
      <c r="B184" t="s">
        <v>200</v>
      </c>
      <c r="C184" t="str">
        <f t="shared" ca="1" si="2"/>
        <v>06-02-2024</v>
      </c>
      <c r="D184" t="str" cm="1">
        <f t="array" ref="D184">_xlfn.IFS(Membership_Data!F184="Basic","5000",Membership_Data!F184="Standard","7500",Membership_Data!F184="Premium","10000")</f>
        <v>7500</v>
      </c>
      <c r="E184" t="str" cm="1">
        <f t="array" ref="E184">_xlfn.IFS(D184="5000","Cash",D184="7500","Debit Card",D184="10000","Credit Card")</f>
        <v>Debit Card</v>
      </c>
    </row>
    <row r="185" spans="1:5" x14ac:dyDescent="0.3">
      <c r="A185" t="s">
        <v>798</v>
      </c>
      <c r="B185" t="s">
        <v>201</v>
      </c>
      <c r="C185" t="str">
        <f t="shared" ca="1" si="2"/>
        <v>09-08-2024</v>
      </c>
      <c r="D185" t="str" cm="1">
        <f t="array" ref="D185">_xlfn.IFS(Membership_Data!F185="Basic","5000",Membership_Data!F185="Standard","7500",Membership_Data!F185="Premium","10000")</f>
        <v>5000</v>
      </c>
      <c r="E185" t="str" cm="1">
        <f t="array" ref="E185">_xlfn.IFS(D185="5000","Cash",D185="7500","Debit Card",D185="10000","Credit Card")</f>
        <v>Cash</v>
      </c>
    </row>
    <row r="186" spans="1:5" x14ac:dyDescent="0.3">
      <c r="A186" t="s">
        <v>799</v>
      </c>
      <c r="B186" t="s">
        <v>202</v>
      </c>
      <c r="C186" t="str">
        <f t="shared" ca="1" si="2"/>
        <v>16-02-2024</v>
      </c>
      <c r="D186" t="str" cm="1">
        <f t="array" ref="D186">_xlfn.IFS(Membership_Data!F186="Basic","5000",Membership_Data!F186="Standard","7500",Membership_Data!F186="Premium","10000")</f>
        <v>10000</v>
      </c>
      <c r="E186" t="str" cm="1">
        <f t="array" ref="E186">_xlfn.IFS(D186="5000","Cash",D186="7500","Debit Card",D186="10000","Credit Card")</f>
        <v>Credit Card</v>
      </c>
    </row>
    <row r="187" spans="1:5" x14ac:dyDescent="0.3">
      <c r="A187" t="s">
        <v>800</v>
      </c>
      <c r="B187" t="s">
        <v>203</v>
      </c>
      <c r="C187" t="str">
        <f t="shared" ca="1" si="2"/>
        <v>02-11-2024</v>
      </c>
      <c r="D187" t="str" cm="1">
        <f t="array" ref="D187">_xlfn.IFS(Membership_Data!F187="Basic","5000",Membership_Data!F187="Standard","7500",Membership_Data!F187="Premium","10000")</f>
        <v>7500</v>
      </c>
      <c r="E187" t="str" cm="1">
        <f t="array" ref="E187">_xlfn.IFS(D187="5000","Cash",D187="7500","Debit Card",D187="10000","Credit Card")</f>
        <v>Debit Card</v>
      </c>
    </row>
    <row r="188" spans="1:5" x14ac:dyDescent="0.3">
      <c r="A188" t="s">
        <v>801</v>
      </c>
      <c r="B188" t="s">
        <v>204</v>
      </c>
      <c r="C188" t="str">
        <f t="shared" ca="1" si="2"/>
        <v>21-05-2024</v>
      </c>
      <c r="D188" t="str" cm="1">
        <f t="array" ref="D188">_xlfn.IFS(Membership_Data!F188="Basic","5000",Membership_Data!F188="Standard","7500",Membership_Data!F188="Premium","10000")</f>
        <v>5000</v>
      </c>
      <c r="E188" t="str" cm="1">
        <f t="array" ref="E188">_xlfn.IFS(D188="5000","Cash",D188="7500","Debit Card",D188="10000","Credit Card")</f>
        <v>Cash</v>
      </c>
    </row>
    <row r="189" spans="1:5" x14ac:dyDescent="0.3">
      <c r="A189" t="s">
        <v>802</v>
      </c>
      <c r="B189" t="s">
        <v>205</v>
      </c>
      <c r="C189" t="str">
        <f t="shared" ca="1" si="2"/>
        <v>01-12-2024</v>
      </c>
      <c r="D189" t="str" cm="1">
        <f t="array" ref="D189">_xlfn.IFS(Membership_Data!F189="Basic","5000",Membership_Data!F189="Standard","7500",Membership_Data!F189="Premium","10000")</f>
        <v>10000</v>
      </c>
      <c r="E189" t="str" cm="1">
        <f t="array" ref="E189">_xlfn.IFS(D189="5000","Cash",D189="7500","Debit Card",D189="10000","Credit Card")</f>
        <v>Credit Card</v>
      </c>
    </row>
    <row r="190" spans="1:5" x14ac:dyDescent="0.3">
      <c r="A190" t="s">
        <v>803</v>
      </c>
      <c r="B190" t="s">
        <v>206</v>
      </c>
      <c r="C190" t="str">
        <f t="shared" ca="1" si="2"/>
        <v>16-02-2024</v>
      </c>
      <c r="D190" t="str" cm="1">
        <f t="array" ref="D190">_xlfn.IFS(Membership_Data!F190="Basic","5000",Membership_Data!F190="Standard","7500",Membership_Data!F190="Premium","10000")</f>
        <v>7500</v>
      </c>
      <c r="E190" t="str" cm="1">
        <f t="array" ref="E190">_xlfn.IFS(D190="5000","Cash",D190="7500","Debit Card",D190="10000","Credit Card")</f>
        <v>Debit Card</v>
      </c>
    </row>
    <row r="191" spans="1:5" x14ac:dyDescent="0.3">
      <c r="A191" t="s">
        <v>804</v>
      </c>
      <c r="B191" t="s">
        <v>207</v>
      </c>
      <c r="C191" t="str">
        <f t="shared" ca="1" si="2"/>
        <v>14-09-2024</v>
      </c>
      <c r="D191" t="str" cm="1">
        <f t="array" ref="D191">_xlfn.IFS(Membership_Data!F191="Basic","5000",Membership_Data!F191="Standard","7500",Membership_Data!F191="Premium","10000")</f>
        <v>5000</v>
      </c>
      <c r="E191" t="str" cm="1">
        <f t="array" ref="E191">_xlfn.IFS(D191="5000","Cash",D191="7500","Debit Card",D191="10000","Credit Card")</f>
        <v>Cash</v>
      </c>
    </row>
    <row r="192" spans="1:5" x14ac:dyDescent="0.3">
      <c r="A192" t="s">
        <v>805</v>
      </c>
      <c r="B192" t="s">
        <v>208</v>
      </c>
      <c r="C192" t="str">
        <f t="shared" ca="1" si="2"/>
        <v>30-08-2025</v>
      </c>
      <c r="D192" t="str" cm="1">
        <f t="array" ref="D192">_xlfn.IFS(Membership_Data!F192="Basic","5000",Membership_Data!F192="Standard","7500",Membership_Data!F192="Premium","10000")</f>
        <v>10000</v>
      </c>
      <c r="E192" t="str" cm="1">
        <f t="array" ref="E192">_xlfn.IFS(D192="5000","Cash",D192="7500","Debit Card",D192="10000","Credit Card")</f>
        <v>Credit Card</v>
      </c>
    </row>
    <row r="193" spans="1:5" x14ac:dyDescent="0.3">
      <c r="A193" t="s">
        <v>806</v>
      </c>
      <c r="B193" t="s">
        <v>209</v>
      </c>
      <c r="C193" t="str">
        <f t="shared" ca="1" si="2"/>
        <v>21-04-2025</v>
      </c>
      <c r="D193" t="str" cm="1">
        <f t="array" ref="D193">_xlfn.IFS(Membership_Data!F193="Basic","5000",Membership_Data!F193="Standard","7500",Membership_Data!F193="Premium","10000")</f>
        <v>7500</v>
      </c>
      <c r="E193" t="str" cm="1">
        <f t="array" ref="E193">_xlfn.IFS(D193="5000","Cash",D193="7500","Debit Card",D193="10000","Credit Card")</f>
        <v>Debit Card</v>
      </c>
    </row>
    <row r="194" spans="1:5" x14ac:dyDescent="0.3">
      <c r="A194" t="s">
        <v>807</v>
      </c>
      <c r="B194" t="s">
        <v>210</v>
      </c>
      <c r="C194" t="str">
        <f t="shared" ca="1" si="2"/>
        <v>08-12-2024</v>
      </c>
      <c r="D194" t="str" cm="1">
        <f t="array" ref="D194">_xlfn.IFS(Membership_Data!F194="Basic","5000",Membership_Data!F194="Standard","7500",Membership_Data!F194="Premium","10000")</f>
        <v>5000</v>
      </c>
      <c r="E194" t="str" cm="1">
        <f t="array" ref="E194">_xlfn.IFS(D194="5000","Cash",D194="7500","Debit Card",D194="10000","Credit Card")</f>
        <v>Cash</v>
      </c>
    </row>
    <row r="195" spans="1:5" x14ac:dyDescent="0.3">
      <c r="A195" t="s">
        <v>808</v>
      </c>
      <c r="B195" t="s">
        <v>211</v>
      </c>
      <c r="C195" t="str">
        <f t="shared" ref="C195:C201" ca="1" si="3">TEXT(RANDBETWEEN(DATE(2024,1,1), DATE(2025,12,31)),"dd-mm-yyyy")</f>
        <v>04-12-2024</v>
      </c>
      <c r="D195" t="str" cm="1">
        <f t="array" ref="D195">_xlfn.IFS(Membership_Data!F195="Basic","5000",Membership_Data!F195="Standard","7500",Membership_Data!F195="Premium","10000")</f>
        <v>10000</v>
      </c>
      <c r="E195" t="str" cm="1">
        <f t="array" ref="E195">_xlfn.IFS(D195="5000","Cash",D195="7500","Debit Card",D195="10000","Credit Card")</f>
        <v>Credit Card</v>
      </c>
    </row>
    <row r="196" spans="1:5" x14ac:dyDescent="0.3">
      <c r="A196" t="s">
        <v>809</v>
      </c>
      <c r="B196" t="s">
        <v>212</v>
      </c>
      <c r="C196" t="str">
        <f t="shared" ca="1" si="3"/>
        <v>15-05-2024</v>
      </c>
      <c r="D196" t="str" cm="1">
        <f t="array" ref="D196">_xlfn.IFS(Membership_Data!F196="Basic","5000",Membership_Data!F196="Standard","7500",Membership_Data!F196="Premium","10000")</f>
        <v>7500</v>
      </c>
      <c r="E196" t="str" cm="1">
        <f t="array" ref="E196">_xlfn.IFS(D196="5000","Cash",D196="7500","Debit Card",D196="10000","Credit Card")</f>
        <v>Debit Card</v>
      </c>
    </row>
    <row r="197" spans="1:5" x14ac:dyDescent="0.3">
      <c r="A197" t="s">
        <v>810</v>
      </c>
      <c r="B197" t="s">
        <v>213</v>
      </c>
      <c r="C197" t="str">
        <f t="shared" ca="1" si="3"/>
        <v>06-11-2024</v>
      </c>
      <c r="D197" t="str" cm="1">
        <f t="array" ref="D197">_xlfn.IFS(Membership_Data!F197="Basic","5000",Membership_Data!F197="Standard","7500",Membership_Data!F197="Premium","10000")</f>
        <v>5000</v>
      </c>
      <c r="E197" t="str" cm="1">
        <f t="array" ref="E197">_xlfn.IFS(D197="5000","Cash",D197="7500","Debit Card",D197="10000","Credit Card")</f>
        <v>Cash</v>
      </c>
    </row>
    <row r="198" spans="1:5" x14ac:dyDescent="0.3">
      <c r="A198" t="s">
        <v>811</v>
      </c>
      <c r="B198" t="s">
        <v>214</v>
      </c>
      <c r="C198" t="str">
        <f t="shared" ca="1" si="3"/>
        <v>13-03-2024</v>
      </c>
      <c r="D198" t="str" cm="1">
        <f t="array" ref="D198">_xlfn.IFS(Membership_Data!F198="Basic","5000",Membership_Data!F198="Standard","7500",Membership_Data!F198="Premium","10000")</f>
        <v>10000</v>
      </c>
      <c r="E198" t="str" cm="1">
        <f t="array" ref="E198">_xlfn.IFS(D198="5000","Cash",D198="7500","Debit Card",D198="10000","Credit Card")</f>
        <v>Credit Card</v>
      </c>
    </row>
    <row r="199" spans="1:5" x14ac:dyDescent="0.3">
      <c r="A199" t="s">
        <v>812</v>
      </c>
      <c r="B199" t="s">
        <v>215</v>
      </c>
      <c r="C199" t="str">
        <f t="shared" ca="1" si="3"/>
        <v>24-08-2025</v>
      </c>
      <c r="D199" t="str" cm="1">
        <f t="array" ref="D199">_xlfn.IFS(Membership_Data!F199="Basic","5000",Membership_Data!F199="Standard","7500",Membership_Data!F199="Premium","10000")</f>
        <v>7500</v>
      </c>
      <c r="E199" t="str" cm="1">
        <f t="array" ref="E199">_xlfn.IFS(D199="5000","Cash",D199="7500","Debit Card",D199="10000","Credit Card")</f>
        <v>Debit Card</v>
      </c>
    </row>
    <row r="200" spans="1:5" x14ac:dyDescent="0.3">
      <c r="A200" t="s">
        <v>813</v>
      </c>
      <c r="B200" t="s">
        <v>216</v>
      </c>
      <c r="C200" t="str">
        <f t="shared" ca="1" si="3"/>
        <v>12-09-2025</v>
      </c>
      <c r="D200" t="str" cm="1">
        <f t="array" ref="D200">_xlfn.IFS(Membership_Data!F200="Basic","5000",Membership_Data!F200="Standard","7500",Membership_Data!F200="Premium","10000")</f>
        <v>5000</v>
      </c>
      <c r="E200" t="str" cm="1">
        <f t="array" ref="E200">_xlfn.IFS(D200="5000","Cash",D200="7500","Debit Card",D200="10000","Credit Card")</f>
        <v>Cash</v>
      </c>
    </row>
    <row r="201" spans="1:5" x14ac:dyDescent="0.3">
      <c r="A201" t="s">
        <v>814</v>
      </c>
      <c r="B201" t="s">
        <v>217</v>
      </c>
      <c r="C201" t="str">
        <f t="shared" ca="1" si="3"/>
        <v>19-05-2024</v>
      </c>
      <c r="D201" t="str" cm="1">
        <f t="array" ref="D201">_xlfn.IFS(Membership_Data!F201="Basic","5000",Membership_Data!F201="Standard","7500",Membership_Data!F201="Premium","10000")</f>
        <v>10000</v>
      </c>
      <c r="E201" t="str" cm="1">
        <f t="array" ref="E201">_xlfn.IFS(D201="5000","Cash",D201="7500","Debit Card",D201="10000","Credit Card")</f>
        <v>Credit Card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Membership_Data</vt:lpstr>
      <vt:lpstr>Attendance Data</vt:lpstr>
      <vt:lpstr>Payments Data</vt:lpstr>
      <vt:lpstr>A</vt:lpstr>
      <vt:lpstr>B</vt:lpstr>
      <vt:lpstr>D</vt:lpstr>
      <vt:lpstr>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2025-12-24T23:30:05Z</dcterms:created>
  <dcterms:modified xsi:type="dcterms:W3CDTF">2025-12-25T02:37:01Z</dcterms:modified>
</cp:coreProperties>
</file>